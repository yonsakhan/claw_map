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人口假设" sheetId="2" state="visible" r:id="rId2"/>
    <sheet xmlns:r="http://schemas.openxmlformats.org/officeDocument/2006/relationships" name="估算GDP" sheetId="3" state="visible" r:id="rId3"/>
    <sheet xmlns:r="http://schemas.openxmlformats.org/officeDocument/2006/relationships" name="数据表" sheetId="4" state="visible" r:id="rId4"/>
    <sheet xmlns:r="http://schemas.openxmlformats.org/officeDocument/2006/relationships" name="来源说明" sheetId="5" state="visible" r:id="rId5"/>
  </sheets>
  <definedNames>
    <definedName name="_xlnm._FilterDatabase" localSheetId="2" hidden="1">'估算GDP'!$A$1:$L$26</definedName>
    <definedName name="_xlnm._FilterDatabase" localSheetId="3" hidden="1">'数据表'!$A$1:$F$26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70" customWidth="1" min="4" max="4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单位/说明</t>
        </is>
      </c>
      <c r="D1" s="1" t="inlineStr">
        <is>
          <t>来源链接</t>
        </is>
      </c>
    </row>
    <row r="2">
      <c r="A2" s="3" t="inlineStr">
        <is>
          <t>全国居民人均消费支出(2024)</t>
        </is>
      </c>
      <c r="B2" s="6" t="n">
        <v>28227</v>
      </c>
      <c r="C2" s="6" t="inlineStr">
        <is>
          <t>元/年（用于推导“消费→GDP”换算系数的默认值）</t>
        </is>
      </c>
      <c r="D2" s="6" t="inlineStr">
        <is>
          <t>https://www.stats.gov.cn/sj/zxfb/202501/t20250117_1958325.html</t>
        </is>
      </c>
    </row>
    <row r="3">
      <c r="A3" s="3" t="inlineStr">
        <is>
          <t>全国人均GDP(2024)</t>
        </is>
      </c>
      <c r="B3" s="6" t="n">
        <v>95749</v>
      </c>
      <c r="C3" s="6" t="inlineStr">
        <is>
          <t>元/年（用于推导“消费→GDP”换算系数的默认值）</t>
        </is>
      </c>
      <c r="D3" s="6" t="inlineStr">
        <is>
          <t>https://www.stats.gov.cn/sj/zxfb/202502/t20250228_1958817.html</t>
        </is>
      </c>
    </row>
    <row r="4">
      <c r="A4" s="3" t="inlineStr">
        <is>
          <t>换算系数α=人均消费/人均GDP(默认)</t>
        </is>
      </c>
      <c r="B4" s="6">
        <f>B2/B3</f>
        <v/>
      </c>
      <c r="C4" s="6" t="inlineStr">
        <is>
          <t>无量纲；用于：人均GDP≈人均年消费/α（可手动改）</t>
        </is>
      </c>
      <c r="D4" s="6" t="inlineStr"/>
    </row>
    <row r="5">
      <c r="A5" s="3" t="inlineStr">
        <is>
          <t>默认男性占比(全国人口构成,2024)</t>
        </is>
      </c>
      <c r="B5" s="6" t="n">
        <v>0.511</v>
      </c>
      <c r="C5" s="6" t="inlineStr">
        <is>
          <t>比例（可在“人口假设”表按城市修改）</t>
        </is>
      </c>
      <c r="D5" s="6" t="inlineStr">
        <is>
          <t>https://www.stats.gov.cn/sj/zxfb/202502/t20250228_1958817.html</t>
        </is>
      </c>
    </row>
    <row r="6">
      <c r="A6" s="3" t="inlineStr">
        <is>
          <t>默认女性占比(全国人口构成,2024)</t>
        </is>
      </c>
      <c r="B6" s="6">
        <f>1-B5</f>
        <v/>
      </c>
      <c r="C6" s="6" t="inlineStr">
        <is>
          <t>比例</t>
        </is>
      </c>
      <c r="D6" s="6" t="inlineStr">
        <is>
          <t>同上</t>
        </is>
      </c>
    </row>
    <row r="7">
      <c r="A7" s="3" t="inlineStr">
        <is>
          <t>生成时间</t>
        </is>
      </c>
      <c r="B7" s="6" t="inlineStr">
        <is>
          <t>2026-04-15 23:00:56</t>
        </is>
      </c>
      <c r="C7" s="6" t="inlineStr"/>
      <c r="D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城市</t>
        </is>
      </c>
      <c r="B1" s="1" t="inlineStr">
        <is>
          <t>总人口(万人，可选)</t>
        </is>
      </c>
      <c r="C1" s="1" t="inlineStr">
        <is>
          <t>男性占比</t>
        </is>
      </c>
      <c r="D1" s="1" t="inlineStr">
        <is>
          <t>女性占比</t>
        </is>
      </c>
      <c r="E1" s="1" t="inlineStr">
        <is>
          <t>备注/来源(可填)</t>
        </is>
      </c>
    </row>
    <row r="2">
      <c r="A2" s="7" t="inlineStr">
        <is>
          <t>香港</t>
        </is>
      </c>
      <c r="B2" s="8" t="n"/>
      <c r="C2" s="9">
        <f>参数!B5</f>
        <v/>
      </c>
      <c r="D2" s="9">
        <f>参数!B6</f>
        <v/>
      </c>
      <c r="E2" s="7" t="inlineStr"/>
    </row>
    <row r="3">
      <c r="A3" s="7" t="inlineStr">
        <is>
          <t>澳门</t>
        </is>
      </c>
      <c r="B3" s="8" t="n"/>
      <c r="C3" s="9">
        <f>参数!B5</f>
        <v/>
      </c>
      <c r="D3" s="9">
        <f>参数!B6</f>
        <v/>
      </c>
      <c r="E3" s="7" t="inlineStr"/>
    </row>
    <row r="4">
      <c r="A4" s="7" t="inlineStr">
        <is>
          <t>台北</t>
        </is>
      </c>
      <c r="B4" s="8" t="n"/>
      <c r="C4" s="9">
        <f>参数!B5</f>
        <v/>
      </c>
      <c r="D4" s="9">
        <f>参数!B6</f>
        <v/>
      </c>
      <c r="E4" s="7" t="inlineStr"/>
    </row>
    <row r="5">
      <c r="A5" s="7" t="inlineStr">
        <is>
          <t>上海</t>
        </is>
      </c>
      <c r="B5" s="8" t="n"/>
      <c r="C5" s="9">
        <f>参数!B5</f>
        <v/>
      </c>
      <c r="D5" s="9">
        <f>参数!B6</f>
        <v/>
      </c>
      <c r="E5" s="7" t="inlineStr"/>
    </row>
    <row r="6">
      <c r="A6" s="7" t="inlineStr">
        <is>
          <t>北京</t>
        </is>
      </c>
      <c r="B6" s="8" t="n"/>
      <c r="C6" s="9">
        <f>参数!B5</f>
        <v/>
      </c>
      <c r="D6" s="9">
        <f>参数!B6</f>
        <v/>
      </c>
      <c r="E6" s="7" t="inlineStr"/>
    </row>
    <row r="7">
      <c r="A7" s="7" t="inlineStr">
        <is>
          <t>杭州</t>
        </is>
      </c>
      <c r="B7" s="8" t="n"/>
      <c r="C7" s="9">
        <f>参数!B5</f>
        <v/>
      </c>
      <c r="D7" s="9">
        <f>参数!B6</f>
        <v/>
      </c>
      <c r="E7" s="7" t="inlineStr"/>
    </row>
    <row r="8">
      <c r="A8" s="7" t="inlineStr">
        <is>
          <t>南京</t>
        </is>
      </c>
      <c r="B8" s="8" t="n"/>
      <c r="C8" s="9">
        <f>参数!B5</f>
        <v/>
      </c>
      <c r="D8" s="9">
        <f>参数!B6</f>
        <v/>
      </c>
      <c r="E8" s="7" t="inlineStr"/>
    </row>
    <row r="9">
      <c r="A9" s="7" t="inlineStr">
        <is>
          <t>武汉</t>
        </is>
      </c>
      <c r="B9" s="8" t="n"/>
      <c r="C9" s="9">
        <f>参数!B5</f>
        <v/>
      </c>
      <c r="D9" s="9">
        <f>参数!B6</f>
        <v/>
      </c>
      <c r="E9" s="7" t="inlineStr"/>
    </row>
    <row r="10">
      <c r="A10" s="7" t="inlineStr">
        <is>
          <t>成都</t>
        </is>
      </c>
      <c r="B10" s="8" t="n"/>
      <c r="C10" s="9">
        <f>参数!B5</f>
        <v/>
      </c>
      <c r="D10" s="9">
        <f>参数!B6</f>
        <v/>
      </c>
      <c r="E10" s="7" t="inlineStr"/>
    </row>
    <row r="11">
      <c r="A11" s="7" t="inlineStr">
        <is>
          <t>长沙</t>
        </is>
      </c>
      <c r="B11" s="8" t="n"/>
      <c r="C11" s="9">
        <f>参数!B5</f>
        <v/>
      </c>
      <c r="D11" s="9">
        <f>参数!B6</f>
        <v/>
      </c>
      <c r="E11" s="7" t="inlineStr"/>
    </row>
    <row r="12">
      <c r="A12" s="7" t="inlineStr">
        <is>
          <t>苏州</t>
        </is>
      </c>
      <c r="B12" s="8" t="n"/>
      <c r="C12" s="9">
        <f>参数!B5</f>
        <v/>
      </c>
      <c r="D12" s="9">
        <f>参数!B6</f>
        <v/>
      </c>
      <c r="E12" s="7" t="inlineStr"/>
    </row>
    <row r="13">
      <c r="A13" s="7" t="inlineStr">
        <is>
          <t>天津</t>
        </is>
      </c>
      <c r="B13" s="8" t="n"/>
      <c r="C13" s="9">
        <f>参数!B5</f>
        <v/>
      </c>
      <c r="D13" s="9">
        <f>参数!B6</f>
        <v/>
      </c>
      <c r="E13" s="7" t="inlineStr"/>
    </row>
    <row r="14">
      <c r="A14" s="7" t="inlineStr">
        <is>
          <t>厦门</t>
        </is>
      </c>
      <c r="B14" s="8" t="n"/>
      <c r="C14" s="9">
        <f>参数!B5</f>
        <v/>
      </c>
      <c r="D14" s="9">
        <f>参数!B6</f>
        <v/>
      </c>
      <c r="E14" s="7" t="inlineStr"/>
    </row>
    <row r="15">
      <c r="A15" s="7" t="inlineStr">
        <is>
          <t>深圳</t>
        </is>
      </c>
      <c r="B15" s="8" t="n"/>
      <c r="C15" s="9">
        <f>参数!B5</f>
        <v/>
      </c>
      <c r="D15" s="9">
        <f>参数!B6</f>
        <v/>
      </c>
      <c r="E15" s="7" t="inlineStr"/>
    </row>
    <row r="16">
      <c r="A16" s="7" t="inlineStr">
        <is>
          <t>重庆</t>
        </is>
      </c>
      <c r="B16" s="8" t="n"/>
      <c r="C16" s="9">
        <f>参数!B5</f>
        <v/>
      </c>
      <c r="D16" s="9">
        <f>参数!B6</f>
        <v/>
      </c>
      <c r="E16" s="7" t="inlineStr"/>
    </row>
    <row r="17">
      <c r="A17" s="7" t="inlineStr">
        <is>
          <t>宁波</t>
        </is>
      </c>
      <c r="B17" s="8" t="n"/>
      <c r="C17" s="9">
        <f>参数!B5</f>
        <v/>
      </c>
      <c r="D17" s="9">
        <f>参数!B6</f>
        <v/>
      </c>
      <c r="E17" s="7" t="inlineStr"/>
    </row>
    <row r="18">
      <c r="A18" s="7" t="inlineStr">
        <is>
          <t>西安</t>
        </is>
      </c>
      <c r="B18" s="8" t="n"/>
      <c r="C18" s="9">
        <f>参数!B5</f>
        <v/>
      </c>
      <c r="D18" s="9">
        <f>参数!B6</f>
        <v/>
      </c>
      <c r="E18" s="7" t="inlineStr"/>
    </row>
    <row r="19">
      <c r="A19" s="7" t="inlineStr">
        <is>
          <t>广州</t>
        </is>
      </c>
      <c r="B19" s="8" t="n"/>
      <c r="C19" s="9">
        <f>参数!B5</f>
        <v/>
      </c>
      <c r="D19" s="9">
        <f>参数!B6</f>
        <v/>
      </c>
      <c r="E19" s="7" t="inlineStr"/>
    </row>
    <row r="20">
      <c r="A20" s="7" t="inlineStr">
        <is>
          <t>济南</t>
        </is>
      </c>
      <c r="B20" s="8" t="n"/>
      <c r="C20" s="9">
        <f>参数!B5</f>
        <v/>
      </c>
      <c r="D20" s="9">
        <f>参数!B6</f>
        <v/>
      </c>
      <c r="E20" s="7" t="inlineStr"/>
    </row>
    <row r="21">
      <c r="A21" s="7" t="inlineStr">
        <is>
          <t>郑州</t>
        </is>
      </c>
      <c r="B21" s="8" t="n"/>
      <c r="C21" s="9">
        <f>参数!B5</f>
        <v/>
      </c>
      <c r="D21" s="9">
        <f>参数!B6</f>
        <v/>
      </c>
      <c r="E21" s="7" t="inlineStr"/>
    </row>
    <row r="22">
      <c r="A22" s="7" t="inlineStr">
        <is>
          <t>青岛</t>
        </is>
      </c>
      <c r="B22" s="8" t="n"/>
      <c r="C22" s="9">
        <f>参数!B5</f>
        <v/>
      </c>
      <c r="D22" s="9">
        <f>参数!B6</f>
        <v/>
      </c>
      <c r="E22" s="7" t="inlineStr"/>
    </row>
    <row r="23">
      <c r="A23" s="7" t="inlineStr">
        <is>
          <t>福州</t>
        </is>
      </c>
      <c r="B23" s="8" t="n"/>
      <c r="C23" s="9">
        <f>参数!B5</f>
        <v/>
      </c>
      <c r="D23" s="9">
        <f>参数!B6</f>
        <v/>
      </c>
      <c r="E23" s="7" t="inlineStr"/>
    </row>
    <row r="24">
      <c r="A24" s="7" t="inlineStr">
        <is>
          <t>合肥</t>
        </is>
      </c>
      <c r="B24" s="8" t="n"/>
      <c r="C24" s="9">
        <f>参数!B5</f>
        <v/>
      </c>
      <c r="D24" s="9">
        <f>参数!B6</f>
        <v/>
      </c>
      <c r="E24" s="7" t="inlineStr"/>
    </row>
    <row r="25">
      <c r="A25" s="7" t="inlineStr">
        <is>
          <t>沈阳</t>
        </is>
      </c>
      <c r="B25" s="8" t="n"/>
      <c r="C25" s="9">
        <f>参数!B5</f>
        <v/>
      </c>
      <c r="D25" s="9">
        <f>参数!B6</f>
        <v/>
      </c>
      <c r="E25" s="7" t="inlineStr"/>
    </row>
    <row r="26">
      <c r="A26" s="7" t="inlineStr">
        <is>
          <t>大连</t>
        </is>
      </c>
      <c r="B26" s="8" t="n"/>
      <c r="C26" s="9">
        <f>参数!B5</f>
        <v/>
      </c>
      <c r="D26" s="9">
        <f>参数!B6</f>
        <v/>
      </c>
      <c r="E2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男性人均月消费(元)</t>
        </is>
      </c>
      <c r="D1" s="1" t="inlineStr">
        <is>
          <t>女性人均月消费(元)</t>
        </is>
      </c>
      <c r="E1" s="1" t="inlineStr">
        <is>
          <t>男性占比</t>
        </is>
      </c>
      <c r="F1" s="1" t="inlineStr">
        <is>
          <t>女性占比</t>
        </is>
      </c>
      <c r="G1" s="1" t="inlineStr">
        <is>
          <t>加权人均月消费(元)</t>
        </is>
      </c>
      <c r="H1" s="1" t="inlineStr">
        <is>
          <t>加权人均年消费(元)</t>
        </is>
      </c>
      <c r="I1" s="1" t="inlineStr">
        <is>
          <t>换算系数α</t>
        </is>
      </c>
      <c r="J1" s="1" t="inlineStr">
        <is>
          <t>估算人均GDP(元)</t>
        </is>
      </c>
      <c r="K1" s="1" t="inlineStr">
        <is>
          <t>总人口(万人，可选)</t>
        </is>
      </c>
      <c r="L1" s="1" t="inlineStr">
        <is>
          <t>估算GDP总量(亿元，可选)</t>
        </is>
      </c>
    </row>
    <row r="2">
      <c r="A2" s="10" t="n">
        <v>1</v>
      </c>
      <c r="B2" s="7" t="inlineStr">
        <is>
          <t>香港</t>
        </is>
      </c>
      <c r="C2" s="11">
        <f>数据表!C2</f>
        <v/>
      </c>
      <c r="D2" s="11">
        <f>数据表!D2</f>
        <v/>
      </c>
      <c r="E2" s="9">
        <f>人口假设!C2</f>
        <v/>
      </c>
      <c r="F2" s="9">
        <f>人口假设!D2</f>
        <v/>
      </c>
      <c r="G2" s="11">
        <f>C2*E2+D2*F2</f>
        <v/>
      </c>
      <c r="H2" s="11">
        <f>G2*12</f>
        <v/>
      </c>
      <c r="I2" s="12">
        <f>参数!B4</f>
        <v/>
      </c>
      <c r="J2" s="11">
        <f>H2/I2</f>
        <v/>
      </c>
      <c r="K2" s="8">
        <f>人口假设!B2</f>
        <v/>
      </c>
      <c r="L2" s="13">
        <f>IF(K2="","",J2*K2*10000/100000000)</f>
        <v/>
      </c>
    </row>
    <row r="3">
      <c r="A3" s="10" t="n">
        <v>2</v>
      </c>
      <c r="B3" s="7" t="inlineStr">
        <is>
          <t>澳门</t>
        </is>
      </c>
      <c r="C3" s="11">
        <f>数据表!C3</f>
        <v/>
      </c>
      <c r="D3" s="11">
        <f>数据表!D3</f>
        <v/>
      </c>
      <c r="E3" s="9">
        <f>人口假设!C3</f>
        <v/>
      </c>
      <c r="F3" s="9">
        <f>人口假设!D3</f>
        <v/>
      </c>
      <c r="G3" s="11">
        <f>C3*E3+D3*F3</f>
        <v/>
      </c>
      <c r="H3" s="11">
        <f>G3*12</f>
        <v/>
      </c>
      <c r="I3" s="12">
        <f>参数!B4</f>
        <v/>
      </c>
      <c r="J3" s="11">
        <f>H3/I3</f>
        <v/>
      </c>
      <c r="K3" s="8">
        <f>人口假设!B3</f>
        <v/>
      </c>
      <c r="L3" s="13">
        <f>IF(K3="","",J3*K3*10000/100000000)</f>
        <v/>
      </c>
    </row>
    <row r="4">
      <c r="A4" s="10" t="n">
        <v>3</v>
      </c>
      <c r="B4" s="7" t="inlineStr">
        <is>
          <t>台北</t>
        </is>
      </c>
      <c r="C4" s="11">
        <f>数据表!C4</f>
        <v/>
      </c>
      <c r="D4" s="11">
        <f>数据表!D4</f>
        <v/>
      </c>
      <c r="E4" s="9">
        <f>人口假设!C4</f>
        <v/>
      </c>
      <c r="F4" s="9">
        <f>人口假设!D4</f>
        <v/>
      </c>
      <c r="G4" s="11">
        <f>C4*E4+D4*F4</f>
        <v/>
      </c>
      <c r="H4" s="11">
        <f>G4*12</f>
        <v/>
      </c>
      <c r="I4" s="12">
        <f>参数!B4</f>
        <v/>
      </c>
      <c r="J4" s="11">
        <f>H4/I4</f>
        <v/>
      </c>
      <c r="K4" s="8">
        <f>人口假设!B4</f>
        <v/>
      </c>
      <c r="L4" s="13">
        <f>IF(K4="","",J4*K4*10000/100000000)</f>
        <v/>
      </c>
    </row>
    <row r="5">
      <c r="A5" s="10" t="n">
        <v>4</v>
      </c>
      <c r="B5" s="7" t="inlineStr">
        <is>
          <t>上海</t>
        </is>
      </c>
      <c r="C5" s="11">
        <f>数据表!C5</f>
        <v/>
      </c>
      <c r="D5" s="11">
        <f>数据表!D5</f>
        <v/>
      </c>
      <c r="E5" s="9">
        <f>人口假设!C5</f>
        <v/>
      </c>
      <c r="F5" s="9">
        <f>人口假设!D5</f>
        <v/>
      </c>
      <c r="G5" s="11">
        <f>C5*E5+D5*F5</f>
        <v/>
      </c>
      <c r="H5" s="11">
        <f>G5*12</f>
        <v/>
      </c>
      <c r="I5" s="12">
        <f>参数!B4</f>
        <v/>
      </c>
      <c r="J5" s="11">
        <f>H5/I5</f>
        <v/>
      </c>
      <c r="K5" s="8">
        <f>人口假设!B5</f>
        <v/>
      </c>
      <c r="L5" s="13">
        <f>IF(K5="","",J5*K5*10000/100000000)</f>
        <v/>
      </c>
    </row>
    <row r="6">
      <c r="A6" s="10" t="n">
        <v>5</v>
      </c>
      <c r="B6" s="7" t="inlineStr">
        <is>
          <t>北京</t>
        </is>
      </c>
      <c r="C6" s="11">
        <f>数据表!C6</f>
        <v/>
      </c>
      <c r="D6" s="11">
        <f>数据表!D6</f>
        <v/>
      </c>
      <c r="E6" s="9">
        <f>人口假设!C6</f>
        <v/>
      </c>
      <c r="F6" s="9">
        <f>人口假设!D6</f>
        <v/>
      </c>
      <c r="G6" s="11">
        <f>C6*E6+D6*F6</f>
        <v/>
      </c>
      <c r="H6" s="11">
        <f>G6*12</f>
        <v/>
      </c>
      <c r="I6" s="12">
        <f>参数!B4</f>
        <v/>
      </c>
      <c r="J6" s="11">
        <f>H6/I6</f>
        <v/>
      </c>
      <c r="K6" s="8">
        <f>人口假设!B6</f>
        <v/>
      </c>
      <c r="L6" s="13">
        <f>IF(K6="","",J6*K6*10000/100000000)</f>
        <v/>
      </c>
    </row>
    <row r="7">
      <c r="A7" s="10" t="n">
        <v>6</v>
      </c>
      <c r="B7" s="7" t="inlineStr">
        <is>
          <t>杭州</t>
        </is>
      </c>
      <c r="C7" s="11">
        <f>数据表!C7</f>
        <v/>
      </c>
      <c r="D7" s="11">
        <f>数据表!D7</f>
        <v/>
      </c>
      <c r="E7" s="9">
        <f>人口假设!C7</f>
        <v/>
      </c>
      <c r="F7" s="9">
        <f>人口假设!D7</f>
        <v/>
      </c>
      <c r="G7" s="11">
        <f>C7*E7+D7*F7</f>
        <v/>
      </c>
      <c r="H7" s="11">
        <f>G7*12</f>
        <v/>
      </c>
      <c r="I7" s="12">
        <f>参数!B4</f>
        <v/>
      </c>
      <c r="J7" s="11">
        <f>H7/I7</f>
        <v/>
      </c>
      <c r="K7" s="8">
        <f>人口假设!B7</f>
        <v/>
      </c>
      <c r="L7" s="13">
        <f>IF(K7="","",J7*K7*10000/100000000)</f>
        <v/>
      </c>
    </row>
    <row r="8">
      <c r="A8" s="10" t="n">
        <v>7</v>
      </c>
      <c r="B8" s="7" t="inlineStr">
        <is>
          <t>南京</t>
        </is>
      </c>
      <c r="C8" s="11">
        <f>数据表!C8</f>
        <v/>
      </c>
      <c r="D8" s="11">
        <f>数据表!D8</f>
        <v/>
      </c>
      <c r="E8" s="9">
        <f>人口假设!C8</f>
        <v/>
      </c>
      <c r="F8" s="9">
        <f>人口假设!D8</f>
        <v/>
      </c>
      <c r="G8" s="11">
        <f>C8*E8+D8*F8</f>
        <v/>
      </c>
      <c r="H8" s="11">
        <f>G8*12</f>
        <v/>
      </c>
      <c r="I8" s="12">
        <f>参数!B4</f>
        <v/>
      </c>
      <c r="J8" s="11">
        <f>H8/I8</f>
        <v/>
      </c>
      <c r="K8" s="8">
        <f>人口假设!B8</f>
        <v/>
      </c>
      <c r="L8" s="13">
        <f>IF(K8="","",J8*K8*10000/100000000)</f>
        <v/>
      </c>
    </row>
    <row r="9">
      <c r="A9" s="10" t="n">
        <v>8</v>
      </c>
      <c r="B9" s="7" t="inlineStr">
        <is>
          <t>武汉</t>
        </is>
      </c>
      <c r="C9" s="11">
        <f>数据表!C9</f>
        <v/>
      </c>
      <c r="D9" s="11">
        <f>数据表!D9</f>
        <v/>
      </c>
      <c r="E9" s="9">
        <f>人口假设!C9</f>
        <v/>
      </c>
      <c r="F9" s="9">
        <f>人口假设!D9</f>
        <v/>
      </c>
      <c r="G9" s="11">
        <f>C9*E9+D9*F9</f>
        <v/>
      </c>
      <c r="H9" s="11">
        <f>G9*12</f>
        <v/>
      </c>
      <c r="I9" s="12">
        <f>参数!B4</f>
        <v/>
      </c>
      <c r="J9" s="11">
        <f>H9/I9</f>
        <v/>
      </c>
      <c r="K9" s="8">
        <f>人口假设!B9</f>
        <v/>
      </c>
      <c r="L9" s="13">
        <f>IF(K9="","",J9*K9*10000/100000000)</f>
        <v/>
      </c>
    </row>
    <row r="10">
      <c r="A10" s="10" t="n">
        <v>9</v>
      </c>
      <c r="B10" s="7" t="inlineStr">
        <is>
          <t>成都</t>
        </is>
      </c>
      <c r="C10" s="11">
        <f>数据表!C10</f>
        <v/>
      </c>
      <c r="D10" s="11">
        <f>数据表!D10</f>
        <v/>
      </c>
      <c r="E10" s="9">
        <f>人口假设!C10</f>
        <v/>
      </c>
      <c r="F10" s="9">
        <f>人口假设!D10</f>
        <v/>
      </c>
      <c r="G10" s="11">
        <f>C10*E10+D10*F10</f>
        <v/>
      </c>
      <c r="H10" s="11">
        <f>G10*12</f>
        <v/>
      </c>
      <c r="I10" s="12">
        <f>参数!B4</f>
        <v/>
      </c>
      <c r="J10" s="11">
        <f>H10/I10</f>
        <v/>
      </c>
      <c r="K10" s="8">
        <f>人口假设!B10</f>
        <v/>
      </c>
      <c r="L10" s="13">
        <f>IF(K10="","",J10*K10*10000/100000000)</f>
        <v/>
      </c>
    </row>
    <row r="11">
      <c r="A11" s="10" t="n">
        <v>10</v>
      </c>
      <c r="B11" s="7" t="inlineStr">
        <is>
          <t>长沙</t>
        </is>
      </c>
      <c r="C11" s="11">
        <f>数据表!C11</f>
        <v/>
      </c>
      <c r="D11" s="11">
        <f>数据表!D11</f>
        <v/>
      </c>
      <c r="E11" s="9">
        <f>人口假设!C11</f>
        <v/>
      </c>
      <c r="F11" s="9">
        <f>人口假设!D11</f>
        <v/>
      </c>
      <c r="G11" s="11">
        <f>C11*E11+D11*F11</f>
        <v/>
      </c>
      <c r="H11" s="11">
        <f>G11*12</f>
        <v/>
      </c>
      <c r="I11" s="12">
        <f>参数!B4</f>
        <v/>
      </c>
      <c r="J11" s="11">
        <f>H11/I11</f>
        <v/>
      </c>
      <c r="K11" s="8">
        <f>人口假设!B11</f>
        <v/>
      </c>
      <c r="L11" s="13">
        <f>IF(K11="","",J11*K11*10000/100000000)</f>
        <v/>
      </c>
    </row>
    <row r="12">
      <c r="A12" s="10" t="n">
        <v>11</v>
      </c>
      <c r="B12" s="7" t="inlineStr">
        <is>
          <t>苏州</t>
        </is>
      </c>
      <c r="C12" s="11">
        <f>数据表!C12</f>
        <v/>
      </c>
      <c r="D12" s="11">
        <f>数据表!D12</f>
        <v/>
      </c>
      <c r="E12" s="9">
        <f>人口假设!C12</f>
        <v/>
      </c>
      <c r="F12" s="9">
        <f>人口假设!D12</f>
        <v/>
      </c>
      <c r="G12" s="11">
        <f>C12*E12+D12*F12</f>
        <v/>
      </c>
      <c r="H12" s="11">
        <f>G12*12</f>
        <v/>
      </c>
      <c r="I12" s="12">
        <f>参数!B4</f>
        <v/>
      </c>
      <c r="J12" s="11">
        <f>H12/I12</f>
        <v/>
      </c>
      <c r="K12" s="8">
        <f>人口假设!B12</f>
        <v/>
      </c>
      <c r="L12" s="13">
        <f>IF(K12="","",J12*K12*10000/100000000)</f>
        <v/>
      </c>
    </row>
    <row r="13">
      <c r="A13" s="10" t="n">
        <v>12</v>
      </c>
      <c r="B13" s="7" t="inlineStr">
        <is>
          <t>天津</t>
        </is>
      </c>
      <c r="C13" s="11">
        <f>数据表!C13</f>
        <v/>
      </c>
      <c r="D13" s="11">
        <f>数据表!D13</f>
        <v/>
      </c>
      <c r="E13" s="9">
        <f>人口假设!C13</f>
        <v/>
      </c>
      <c r="F13" s="9">
        <f>人口假设!D13</f>
        <v/>
      </c>
      <c r="G13" s="11">
        <f>C13*E13+D13*F13</f>
        <v/>
      </c>
      <c r="H13" s="11">
        <f>G13*12</f>
        <v/>
      </c>
      <c r="I13" s="12">
        <f>参数!B4</f>
        <v/>
      </c>
      <c r="J13" s="11">
        <f>H13/I13</f>
        <v/>
      </c>
      <c r="K13" s="8">
        <f>人口假设!B13</f>
        <v/>
      </c>
      <c r="L13" s="13">
        <f>IF(K13="","",J13*K13*10000/100000000)</f>
        <v/>
      </c>
    </row>
    <row r="14">
      <c r="A14" s="10" t="n">
        <v>13</v>
      </c>
      <c r="B14" s="7" t="inlineStr">
        <is>
          <t>厦门</t>
        </is>
      </c>
      <c r="C14" s="11">
        <f>数据表!C14</f>
        <v/>
      </c>
      <c r="D14" s="11">
        <f>数据表!D14</f>
        <v/>
      </c>
      <c r="E14" s="9">
        <f>人口假设!C14</f>
        <v/>
      </c>
      <c r="F14" s="9">
        <f>人口假设!D14</f>
        <v/>
      </c>
      <c r="G14" s="11">
        <f>C14*E14+D14*F14</f>
        <v/>
      </c>
      <c r="H14" s="11">
        <f>G14*12</f>
        <v/>
      </c>
      <c r="I14" s="12">
        <f>参数!B4</f>
        <v/>
      </c>
      <c r="J14" s="11">
        <f>H14/I14</f>
        <v/>
      </c>
      <c r="K14" s="8">
        <f>人口假设!B14</f>
        <v/>
      </c>
      <c r="L14" s="13">
        <f>IF(K14="","",J14*K14*10000/100000000)</f>
        <v/>
      </c>
    </row>
    <row r="15">
      <c r="A15" s="10" t="n">
        <v>14</v>
      </c>
      <c r="B15" s="7" t="inlineStr">
        <is>
          <t>深圳</t>
        </is>
      </c>
      <c r="C15" s="11">
        <f>数据表!C15</f>
        <v/>
      </c>
      <c r="D15" s="11">
        <f>数据表!D15</f>
        <v/>
      </c>
      <c r="E15" s="9">
        <f>人口假设!C15</f>
        <v/>
      </c>
      <c r="F15" s="9">
        <f>人口假设!D15</f>
        <v/>
      </c>
      <c r="G15" s="11">
        <f>C15*E15+D15*F15</f>
        <v/>
      </c>
      <c r="H15" s="11">
        <f>G15*12</f>
        <v/>
      </c>
      <c r="I15" s="12">
        <f>参数!B4</f>
        <v/>
      </c>
      <c r="J15" s="11">
        <f>H15/I15</f>
        <v/>
      </c>
      <c r="K15" s="8">
        <f>人口假设!B15</f>
        <v/>
      </c>
      <c r="L15" s="13">
        <f>IF(K15="","",J15*K15*10000/100000000)</f>
        <v/>
      </c>
    </row>
    <row r="16">
      <c r="A16" s="10" t="n">
        <v>15</v>
      </c>
      <c r="B16" s="7" t="inlineStr">
        <is>
          <t>重庆</t>
        </is>
      </c>
      <c r="C16" s="11">
        <f>数据表!C16</f>
        <v/>
      </c>
      <c r="D16" s="11">
        <f>数据表!D16</f>
        <v/>
      </c>
      <c r="E16" s="9">
        <f>人口假设!C16</f>
        <v/>
      </c>
      <c r="F16" s="9">
        <f>人口假设!D16</f>
        <v/>
      </c>
      <c r="G16" s="11">
        <f>C16*E16+D16*F16</f>
        <v/>
      </c>
      <c r="H16" s="11">
        <f>G16*12</f>
        <v/>
      </c>
      <c r="I16" s="12">
        <f>参数!B4</f>
        <v/>
      </c>
      <c r="J16" s="11">
        <f>H16/I16</f>
        <v/>
      </c>
      <c r="K16" s="8">
        <f>人口假设!B16</f>
        <v/>
      </c>
      <c r="L16" s="13">
        <f>IF(K16="","",J16*K16*10000/100000000)</f>
        <v/>
      </c>
    </row>
    <row r="17">
      <c r="A17" s="10" t="n">
        <v>16</v>
      </c>
      <c r="B17" s="7" t="inlineStr">
        <is>
          <t>宁波</t>
        </is>
      </c>
      <c r="C17" s="11">
        <f>数据表!C17</f>
        <v/>
      </c>
      <c r="D17" s="11">
        <f>数据表!D17</f>
        <v/>
      </c>
      <c r="E17" s="9">
        <f>人口假设!C17</f>
        <v/>
      </c>
      <c r="F17" s="9">
        <f>人口假设!D17</f>
        <v/>
      </c>
      <c r="G17" s="11">
        <f>C17*E17+D17*F17</f>
        <v/>
      </c>
      <c r="H17" s="11">
        <f>G17*12</f>
        <v/>
      </c>
      <c r="I17" s="12">
        <f>参数!B4</f>
        <v/>
      </c>
      <c r="J17" s="11">
        <f>H17/I17</f>
        <v/>
      </c>
      <c r="K17" s="8">
        <f>人口假设!B17</f>
        <v/>
      </c>
      <c r="L17" s="13">
        <f>IF(K17="","",J17*K17*10000/100000000)</f>
        <v/>
      </c>
    </row>
    <row r="18">
      <c r="A18" s="10" t="n">
        <v>17</v>
      </c>
      <c r="B18" s="7" t="inlineStr">
        <is>
          <t>西安</t>
        </is>
      </c>
      <c r="C18" s="11">
        <f>数据表!C18</f>
        <v/>
      </c>
      <c r="D18" s="11">
        <f>数据表!D18</f>
        <v/>
      </c>
      <c r="E18" s="9">
        <f>人口假设!C18</f>
        <v/>
      </c>
      <c r="F18" s="9">
        <f>人口假设!D18</f>
        <v/>
      </c>
      <c r="G18" s="11">
        <f>C18*E18+D18*F18</f>
        <v/>
      </c>
      <c r="H18" s="11">
        <f>G18*12</f>
        <v/>
      </c>
      <c r="I18" s="12">
        <f>参数!B4</f>
        <v/>
      </c>
      <c r="J18" s="11">
        <f>H18/I18</f>
        <v/>
      </c>
      <c r="K18" s="8">
        <f>人口假设!B18</f>
        <v/>
      </c>
      <c r="L18" s="13">
        <f>IF(K18="","",J18*K18*10000/100000000)</f>
        <v/>
      </c>
    </row>
    <row r="19">
      <c r="A19" s="10" t="n">
        <v>18</v>
      </c>
      <c r="B19" s="7" t="inlineStr">
        <is>
          <t>广州</t>
        </is>
      </c>
      <c r="C19" s="11">
        <f>数据表!C19</f>
        <v/>
      </c>
      <c r="D19" s="11">
        <f>数据表!D19</f>
        <v/>
      </c>
      <c r="E19" s="9">
        <f>人口假设!C19</f>
        <v/>
      </c>
      <c r="F19" s="9">
        <f>人口假设!D19</f>
        <v/>
      </c>
      <c r="G19" s="11">
        <f>C19*E19+D19*F19</f>
        <v/>
      </c>
      <c r="H19" s="11">
        <f>G19*12</f>
        <v/>
      </c>
      <c r="I19" s="12">
        <f>参数!B4</f>
        <v/>
      </c>
      <c r="J19" s="11">
        <f>H19/I19</f>
        <v/>
      </c>
      <c r="K19" s="8">
        <f>人口假设!B19</f>
        <v/>
      </c>
      <c r="L19" s="13">
        <f>IF(K19="","",J19*K19*10000/100000000)</f>
        <v/>
      </c>
    </row>
    <row r="20">
      <c r="A20" s="10" t="n">
        <v>19</v>
      </c>
      <c r="B20" s="7" t="inlineStr">
        <is>
          <t>济南</t>
        </is>
      </c>
      <c r="C20" s="11">
        <f>数据表!C20</f>
        <v/>
      </c>
      <c r="D20" s="11">
        <f>数据表!D20</f>
        <v/>
      </c>
      <c r="E20" s="9">
        <f>人口假设!C20</f>
        <v/>
      </c>
      <c r="F20" s="9">
        <f>人口假设!D20</f>
        <v/>
      </c>
      <c r="G20" s="11">
        <f>C20*E20+D20*F20</f>
        <v/>
      </c>
      <c r="H20" s="11">
        <f>G20*12</f>
        <v/>
      </c>
      <c r="I20" s="12">
        <f>参数!B4</f>
        <v/>
      </c>
      <c r="J20" s="11">
        <f>H20/I20</f>
        <v/>
      </c>
      <c r="K20" s="8">
        <f>人口假设!B20</f>
        <v/>
      </c>
      <c r="L20" s="13">
        <f>IF(K20="","",J20*K20*10000/100000000)</f>
        <v/>
      </c>
    </row>
    <row r="21">
      <c r="A21" s="10" t="n">
        <v>20</v>
      </c>
      <c r="B21" s="7" t="inlineStr">
        <is>
          <t>郑州</t>
        </is>
      </c>
      <c r="C21" s="11">
        <f>数据表!C21</f>
        <v/>
      </c>
      <c r="D21" s="11">
        <f>数据表!D21</f>
        <v/>
      </c>
      <c r="E21" s="9">
        <f>人口假设!C21</f>
        <v/>
      </c>
      <c r="F21" s="9">
        <f>人口假设!D21</f>
        <v/>
      </c>
      <c r="G21" s="11">
        <f>C21*E21+D21*F21</f>
        <v/>
      </c>
      <c r="H21" s="11">
        <f>G21*12</f>
        <v/>
      </c>
      <c r="I21" s="12">
        <f>参数!B4</f>
        <v/>
      </c>
      <c r="J21" s="11">
        <f>H21/I21</f>
        <v/>
      </c>
      <c r="K21" s="8">
        <f>人口假设!B21</f>
        <v/>
      </c>
      <c r="L21" s="13">
        <f>IF(K21="","",J21*K21*10000/100000000)</f>
        <v/>
      </c>
    </row>
    <row r="22">
      <c r="A22" s="10" t="n">
        <v>21</v>
      </c>
      <c r="B22" s="7" t="inlineStr">
        <is>
          <t>青岛</t>
        </is>
      </c>
      <c r="C22" s="11">
        <f>数据表!C22</f>
        <v/>
      </c>
      <c r="D22" s="11">
        <f>数据表!D22</f>
        <v/>
      </c>
      <c r="E22" s="9">
        <f>人口假设!C22</f>
        <v/>
      </c>
      <c r="F22" s="9">
        <f>人口假设!D22</f>
        <v/>
      </c>
      <c r="G22" s="11">
        <f>C22*E22+D22*F22</f>
        <v/>
      </c>
      <c r="H22" s="11">
        <f>G22*12</f>
        <v/>
      </c>
      <c r="I22" s="12">
        <f>参数!B4</f>
        <v/>
      </c>
      <c r="J22" s="11">
        <f>H22/I22</f>
        <v/>
      </c>
      <c r="K22" s="8">
        <f>人口假设!B22</f>
        <v/>
      </c>
      <c r="L22" s="13">
        <f>IF(K22="","",J22*K22*10000/100000000)</f>
        <v/>
      </c>
    </row>
    <row r="23">
      <c r="A23" s="10" t="n">
        <v>22</v>
      </c>
      <c r="B23" s="7" t="inlineStr">
        <is>
          <t>福州</t>
        </is>
      </c>
      <c r="C23" s="11">
        <f>数据表!C23</f>
        <v/>
      </c>
      <c r="D23" s="11">
        <f>数据表!D23</f>
        <v/>
      </c>
      <c r="E23" s="9">
        <f>人口假设!C23</f>
        <v/>
      </c>
      <c r="F23" s="9">
        <f>人口假设!D23</f>
        <v/>
      </c>
      <c r="G23" s="11">
        <f>C23*E23+D23*F23</f>
        <v/>
      </c>
      <c r="H23" s="11">
        <f>G23*12</f>
        <v/>
      </c>
      <c r="I23" s="12">
        <f>参数!B4</f>
        <v/>
      </c>
      <c r="J23" s="11">
        <f>H23/I23</f>
        <v/>
      </c>
      <c r="K23" s="8">
        <f>人口假设!B23</f>
        <v/>
      </c>
      <c r="L23" s="13">
        <f>IF(K23="","",J23*K23*10000/100000000)</f>
        <v/>
      </c>
    </row>
    <row r="24">
      <c r="A24" s="10" t="n">
        <v>23</v>
      </c>
      <c r="B24" s="7" t="inlineStr">
        <is>
          <t>合肥</t>
        </is>
      </c>
      <c r="C24" s="11">
        <f>数据表!C24</f>
        <v/>
      </c>
      <c r="D24" s="11">
        <f>数据表!D24</f>
        <v/>
      </c>
      <c r="E24" s="9">
        <f>人口假设!C24</f>
        <v/>
      </c>
      <c r="F24" s="9">
        <f>人口假设!D24</f>
        <v/>
      </c>
      <c r="G24" s="11">
        <f>C24*E24+D24*F24</f>
        <v/>
      </c>
      <c r="H24" s="11">
        <f>G24*12</f>
        <v/>
      </c>
      <c r="I24" s="12">
        <f>参数!B4</f>
        <v/>
      </c>
      <c r="J24" s="11">
        <f>H24/I24</f>
        <v/>
      </c>
      <c r="K24" s="8">
        <f>人口假设!B24</f>
        <v/>
      </c>
      <c r="L24" s="13">
        <f>IF(K24="","",J24*K24*10000/100000000)</f>
        <v/>
      </c>
    </row>
    <row r="25">
      <c r="A25" s="10" t="n">
        <v>24</v>
      </c>
      <c r="B25" s="7" t="inlineStr">
        <is>
          <t>沈阳</t>
        </is>
      </c>
      <c r="C25" s="11">
        <f>数据表!C25</f>
        <v/>
      </c>
      <c r="D25" s="11">
        <f>数据表!D25</f>
        <v/>
      </c>
      <c r="E25" s="9">
        <f>人口假设!C25</f>
        <v/>
      </c>
      <c r="F25" s="9">
        <f>人口假设!D25</f>
        <v/>
      </c>
      <c r="G25" s="11">
        <f>C25*E25+D25*F25</f>
        <v/>
      </c>
      <c r="H25" s="11">
        <f>G25*12</f>
        <v/>
      </c>
      <c r="I25" s="12">
        <f>参数!B4</f>
        <v/>
      </c>
      <c r="J25" s="11">
        <f>H25/I25</f>
        <v/>
      </c>
      <c r="K25" s="8">
        <f>人口假设!B25</f>
        <v/>
      </c>
      <c r="L25" s="13">
        <f>IF(K25="","",J25*K25*10000/100000000)</f>
        <v/>
      </c>
    </row>
    <row r="26">
      <c r="A26" s="10" t="n">
        <v>25</v>
      </c>
      <c r="B26" s="7" t="inlineStr">
        <is>
          <t>大连</t>
        </is>
      </c>
      <c r="C26" s="11">
        <f>数据表!C26</f>
        <v/>
      </c>
      <c r="D26" s="11">
        <f>数据表!D26</f>
        <v/>
      </c>
      <c r="E26" s="9">
        <f>人口假设!C26</f>
        <v/>
      </c>
      <c r="F26" s="9">
        <f>人口假设!D26</f>
        <v/>
      </c>
      <c r="G26" s="11">
        <f>C26*E26+D26*F26</f>
        <v/>
      </c>
      <c r="H26" s="11">
        <f>G26*12</f>
        <v/>
      </c>
      <c r="I26" s="12">
        <f>参数!B4</f>
        <v/>
      </c>
      <c r="J26" s="11">
        <f>H26/I26</f>
        <v/>
      </c>
      <c r="K26" s="8">
        <f>人口假设!B26</f>
        <v/>
      </c>
      <c r="L26" s="13">
        <f>IF(K26="","",J26*K26*10000/100000000)</f>
        <v/>
      </c>
    </row>
  </sheetData>
  <autoFilter ref="A1:L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男性人均每月消费额(元)</t>
        </is>
      </c>
      <c r="D1" s="1" t="inlineStr">
        <is>
          <t>女性人均每月消费额(元)</t>
        </is>
      </c>
      <c r="E1" s="1" t="inlineStr">
        <is>
          <t>省市区</t>
        </is>
      </c>
      <c r="F1" s="1" t="inlineStr">
        <is>
          <t>区域</t>
        </is>
      </c>
    </row>
    <row r="2">
      <c r="A2" s="2" t="n">
        <v>1</v>
      </c>
      <c r="B2" s="3" t="inlineStr">
        <is>
          <t>香港</t>
        </is>
      </c>
      <c r="C2" s="4" t="n">
        <v>23543</v>
      </c>
      <c r="D2" s="4" t="n">
        <v>23608</v>
      </c>
      <c r="E2" s="3" t="inlineStr">
        <is>
          <t>香港</t>
        </is>
      </c>
      <c r="F2" s="3" t="inlineStr">
        <is>
          <t>华南</t>
        </is>
      </c>
    </row>
    <row r="3">
      <c r="A3" s="2" t="n">
        <v>2</v>
      </c>
      <c r="B3" s="3" t="inlineStr">
        <is>
          <t>澳门</t>
        </is>
      </c>
      <c r="C3" s="4" t="n">
        <v>21167</v>
      </c>
      <c r="D3" s="4" t="n">
        <v>22532</v>
      </c>
      <c r="E3" s="3" t="inlineStr">
        <is>
          <t>澳门</t>
        </is>
      </c>
      <c r="F3" s="3" t="inlineStr">
        <is>
          <t>华南</t>
        </is>
      </c>
    </row>
    <row r="4">
      <c r="A4" s="2" t="n">
        <v>3</v>
      </c>
      <c r="B4" s="3" t="inlineStr">
        <is>
          <t>台北</t>
        </is>
      </c>
      <c r="C4" s="4" t="n">
        <v>9913</v>
      </c>
      <c r="D4" s="4" t="n">
        <v>9894</v>
      </c>
      <c r="E4" s="3" t="inlineStr">
        <is>
          <t>台湾</t>
        </is>
      </c>
      <c r="F4" s="3" t="inlineStr">
        <is>
          <t>华东</t>
        </is>
      </c>
    </row>
    <row r="5">
      <c r="A5" s="2" t="n">
        <v>4</v>
      </c>
      <c r="B5" s="3" t="inlineStr">
        <is>
          <t>上海</t>
        </is>
      </c>
      <c r="C5" s="4" t="n">
        <v>5462</v>
      </c>
      <c r="D5" s="4" t="n">
        <v>10872</v>
      </c>
      <c r="E5" s="3" t="inlineStr">
        <is>
          <t>上海</t>
        </is>
      </c>
      <c r="F5" s="3" t="inlineStr">
        <is>
          <t>华东</t>
        </is>
      </c>
    </row>
    <row r="6">
      <c r="A6" s="2" t="n">
        <v>5</v>
      </c>
      <c r="B6" s="3" t="inlineStr">
        <is>
          <t>北京</t>
        </is>
      </c>
      <c r="C6" s="4" t="n">
        <v>5421</v>
      </c>
      <c r="D6" s="4" t="n">
        <v>10455</v>
      </c>
      <c r="E6" s="3" t="inlineStr">
        <is>
          <t>北京</t>
        </is>
      </c>
      <c r="F6" s="3" t="inlineStr">
        <is>
          <t>华北</t>
        </is>
      </c>
    </row>
    <row r="7">
      <c r="A7" s="2" t="n">
        <v>6</v>
      </c>
      <c r="B7" s="3" t="inlineStr">
        <is>
          <t>杭州</t>
        </is>
      </c>
      <c r="C7" s="4" t="n">
        <v>5124</v>
      </c>
      <c r="D7" s="4" t="n">
        <v>9885</v>
      </c>
      <c r="E7" s="3" t="inlineStr">
        <is>
          <t>浙江</t>
        </is>
      </c>
      <c r="F7" s="3" t="inlineStr">
        <is>
          <t>华东</t>
        </is>
      </c>
    </row>
    <row r="8">
      <c r="A8" s="2" t="n">
        <v>7</v>
      </c>
      <c r="B8" s="3" t="inlineStr">
        <is>
          <t>南京</t>
        </is>
      </c>
      <c r="C8" s="4" t="n">
        <v>5102</v>
      </c>
      <c r="D8" s="4" t="n">
        <v>9843</v>
      </c>
      <c r="E8" s="3" t="inlineStr">
        <is>
          <t>江苏</t>
        </is>
      </c>
      <c r="F8" s="3" t="inlineStr">
        <is>
          <t>华东</t>
        </is>
      </c>
    </row>
    <row r="9">
      <c r="A9" s="2" t="n">
        <v>8</v>
      </c>
      <c r="B9" s="3" t="inlineStr">
        <is>
          <t>武汉</t>
        </is>
      </c>
      <c r="C9" s="4" t="n">
        <v>5087</v>
      </c>
      <c r="D9" s="4" t="n">
        <v>9556</v>
      </c>
      <c r="E9" s="3" t="inlineStr">
        <is>
          <t>湖北</t>
        </is>
      </c>
      <c r="F9" s="3" t="inlineStr">
        <is>
          <t>华中</t>
        </is>
      </c>
    </row>
    <row r="10">
      <c r="A10" s="2" t="n">
        <v>9</v>
      </c>
      <c r="B10" s="3" t="inlineStr">
        <is>
          <t>成都</t>
        </is>
      </c>
      <c r="C10" s="4" t="n">
        <v>5055</v>
      </c>
      <c r="D10" s="4" t="n">
        <v>9122</v>
      </c>
      <c r="E10" s="3" t="inlineStr">
        <is>
          <t>四川</t>
        </is>
      </c>
      <c r="F10" s="3" t="inlineStr">
        <is>
          <t>西南</t>
        </is>
      </c>
    </row>
    <row r="11">
      <c r="A11" s="2" t="n">
        <v>10</v>
      </c>
      <c r="B11" s="3" t="inlineStr">
        <is>
          <t>长沙</t>
        </is>
      </c>
      <c r="C11" s="4" t="n">
        <v>5023</v>
      </c>
      <c r="D11" s="4" t="n">
        <v>9133</v>
      </c>
      <c r="E11" s="3" t="inlineStr">
        <is>
          <t>湖南</t>
        </is>
      </c>
      <c r="F11" s="3" t="inlineStr">
        <is>
          <t>华中</t>
        </is>
      </c>
    </row>
    <row r="12">
      <c r="A12" s="2" t="n">
        <v>11</v>
      </c>
      <c r="B12" s="3" t="inlineStr">
        <is>
          <t>苏州</t>
        </is>
      </c>
      <c r="C12" s="4" t="n">
        <v>5015</v>
      </c>
      <c r="D12" s="4" t="n">
        <v>9262</v>
      </c>
      <c r="E12" s="3" t="inlineStr">
        <is>
          <t>江苏</t>
        </is>
      </c>
      <c r="F12" s="3" t="inlineStr">
        <is>
          <t>华东</t>
        </is>
      </c>
    </row>
    <row r="13">
      <c r="A13" s="2" t="n">
        <v>12</v>
      </c>
      <c r="B13" s="3" t="inlineStr">
        <is>
          <t>天津</t>
        </is>
      </c>
      <c r="C13" s="4" t="n">
        <v>5006</v>
      </c>
      <c r="D13" s="4" t="n">
        <v>9371</v>
      </c>
      <c r="E13" s="3" t="inlineStr">
        <is>
          <t>天津</t>
        </is>
      </c>
      <c r="F13" s="3" t="inlineStr">
        <is>
          <t>华北</t>
        </is>
      </c>
    </row>
    <row r="14">
      <c r="A14" s="2" t="n">
        <v>13</v>
      </c>
      <c r="B14" s="3" t="inlineStr">
        <is>
          <t>厦门</t>
        </is>
      </c>
      <c r="C14" s="4" t="n">
        <v>4993</v>
      </c>
      <c r="D14" s="4" t="n">
        <v>9255</v>
      </c>
      <c r="E14" s="3" t="inlineStr">
        <is>
          <t>福建</t>
        </is>
      </c>
      <c r="F14" s="3" t="inlineStr">
        <is>
          <t>华东</t>
        </is>
      </c>
    </row>
    <row r="15">
      <c r="A15" s="2" t="n">
        <v>14</v>
      </c>
      <c r="B15" s="3" t="inlineStr">
        <is>
          <t>深圳</t>
        </is>
      </c>
      <c r="C15" s="4" t="n">
        <v>4987</v>
      </c>
      <c r="D15" s="4" t="n">
        <v>10253</v>
      </c>
      <c r="E15" s="3" t="inlineStr">
        <is>
          <t>广东</t>
        </is>
      </c>
      <c r="F15" s="3" t="inlineStr">
        <is>
          <t>华南</t>
        </is>
      </c>
    </row>
    <row r="16">
      <c r="A16" s="2" t="n">
        <v>15</v>
      </c>
      <c r="B16" s="3" t="inlineStr">
        <is>
          <t>重庆</t>
        </is>
      </c>
      <c r="C16" s="4" t="n">
        <v>4980</v>
      </c>
      <c r="D16" s="4" t="n">
        <v>8256</v>
      </c>
      <c r="E16" s="3" t="inlineStr">
        <is>
          <t>重庆</t>
        </is>
      </c>
      <c r="F16" s="3" t="inlineStr">
        <is>
          <t>西南</t>
        </is>
      </c>
    </row>
    <row r="17">
      <c r="A17" s="2" t="n">
        <v>16</v>
      </c>
      <c r="B17" s="3" t="inlineStr">
        <is>
          <t>宁波</t>
        </is>
      </c>
      <c r="C17" s="4" t="n">
        <v>4962</v>
      </c>
      <c r="D17" s="4" t="n">
        <v>9297</v>
      </c>
      <c r="E17" s="3" t="inlineStr">
        <is>
          <t>浙江</t>
        </is>
      </c>
      <c r="F17" s="3" t="inlineStr">
        <is>
          <t>华东</t>
        </is>
      </c>
    </row>
    <row r="18">
      <c r="A18" s="2" t="n">
        <v>17</v>
      </c>
      <c r="B18" s="3" t="inlineStr">
        <is>
          <t>西安</t>
        </is>
      </c>
      <c r="C18" s="4" t="n">
        <v>4950</v>
      </c>
      <c r="D18" s="4" t="n">
        <v>8363</v>
      </c>
      <c r="E18" s="3" t="inlineStr">
        <is>
          <t>陕西</t>
        </is>
      </c>
      <c r="F18" s="3" t="inlineStr">
        <is>
          <t>西北</t>
        </is>
      </c>
    </row>
    <row r="19">
      <c r="A19" s="2" t="n">
        <v>18</v>
      </c>
      <c r="B19" s="3" t="inlineStr">
        <is>
          <t>广州</t>
        </is>
      </c>
      <c r="C19" s="4" t="n">
        <v>4941</v>
      </c>
      <c r="D19" s="4" t="n">
        <v>9913</v>
      </c>
      <c r="E19" s="3" t="inlineStr">
        <is>
          <t>广东</t>
        </is>
      </c>
      <c r="F19" s="3" t="inlineStr">
        <is>
          <t>华南</t>
        </is>
      </c>
    </row>
    <row r="20">
      <c r="A20" s="2" t="n">
        <v>19</v>
      </c>
      <c r="B20" s="3" t="inlineStr">
        <is>
          <t>济南</t>
        </is>
      </c>
      <c r="C20" s="4" t="n">
        <v>4934</v>
      </c>
      <c r="D20" s="4" t="n">
        <v>8579</v>
      </c>
      <c r="E20" s="3" t="inlineStr">
        <is>
          <t>山东</t>
        </is>
      </c>
      <c r="F20" s="3" t="inlineStr">
        <is>
          <t>华东</t>
        </is>
      </c>
    </row>
    <row r="21">
      <c r="A21" s="2" t="n">
        <v>20</v>
      </c>
      <c r="B21" s="3" t="inlineStr">
        <is>
          <t>郑州</t>
        </is>
      </c>
      <c r="C21" s="4" t="n">
        <v>4931</v>
      </c>
      <c r="D21" s="4" t="n">
        <v>8485</v>
      </c>
      <c r="E21" s="3" t="inlineStr">
        <is>
          <t>河南</t>
        </is>
      </c>
      <c r="F21" s="3" t="inlineStr">
        <is>
          <t>华中</t>
        </is>
      </c>
    </row>
    <row r="22">
      <c r="A22" s="2" t="n">
        <v>21</v>
      </c>
      <c r="B22" s="3" t="inlineStr">
        <is>
          <t>青岛</t>
        </is>
      </c>
      <c r="C22" s="4" t="n">
        <v>4927</v>
      </c>
      <c r="D22" s="4" t="n">
        <v>8996</v>
      </c>
      <c r="E22" s="3" t="inlineStr">
        <is>
          <t>山东</t>
        </is>
      </c>
      <c r="F22" s="3" t="inlineStr">
        <is>
          <t>华东</t>
        </is>
      </c>
    </row>
    <row r="23">
      <c r="A23" s="2" t="n">
        <v>22</v>
      </c>
      <c r="B23" s="3" t="inlineStr">
        <is>
          <t>福州</t>
        </is>
      </c>
      <c r="C23" s="4" t="n">
        <v>4912</v>
      </c>
      <c r="D23" s="4" t="n">
        <v>9147</v>
      </c>
      <c r="E23" s="3" t="inlineStr">
        <is>
          <t>福建</t>
        </is>
      </c>
      <c r="F23" s="3" t="inlineStr">
        <is>
          <t>华东</t>
        </is>
      </c>
    </row>
    <row r="24">
      <c r="A24" s="2" t="n">
        <v>23</v>
      </c>
      <c r="B24" s="3" t="inlineStr">
        <is>
          <t>合肥</t>
        </is>
      </c>
      <c r="C24" s="4" t="n">
        <v>4892</v>
      </c>
      <c r="D24" s="4" t="n">
        <v>8645</v>
      </c>
      <c r="E24" s="3" t="inlineStr">
        <is>
          <t>安徽</t>
        </is>
      </c>
      <c r="F24" s="3" t="inlineStr">
        <is>
          <t>华东</t>
        </is>
      </c>
    </row>
    <row r="25">
      <c r="A25" s="2" t="n">
        <v>24</v>
      </c>
      <c r="B25" s="3" t="inlineStr">
        <is>
          <t>沈阳</t>
        </is>
      </c>
      <c r="C25" s="4" t="n">
        <v>4882</v>
      </c>
      <c r="D25" s="4" t="n">
        <v>8187</v>
      </c>
      <c r="E25" s="3" t="inlineStr">
        <is>
          <t>辽宁</t>
        </is>
      </c>
      <c r="F25" s="3" t="inlineStr">
        <is>
          <t>东北</t>
        </is>
      </c>
    </row>
    <row r="26">
      <c r="A26" s="2" t="n">
        <v>25</v>
      </c>
      <c r="B26" s="3" t="inlineStr">
        <is>
          <t>大连</t>
        </is>
      </c>
      <c r="C26" s="4" t="n">
        <v>4853</v>
      </c>
      <c r="D26" s="4" t="n">
        <v>8196</v>
      </c>
      <c r="E26" s="3" t="inlineStr">
        <is>
          <t>辽宁</t>
        </is>
      </c>
      <c r="F26" s="3" t="inlineStr">
        <is>
          <t>东北</t>
        </is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来源链接</t>
        </is>
      </c>
      <c r="B1" s="3" t="inlineStr">
        <is>
          <t>https://www.163.com/dy/article/KC72RRK605388U6J.html</t>
        </is>
      </c>
    </row>
    <row r="2">
      <c r="A2" s="5" t="inlineStr">
        <is>
          <t>提取方式</t>
        </is>
      </c>
      <c r="B2" s="3" t="inlineStr">
        <is>
          <t>根据文章配图表格逐行转录为结构化数据（未对数据真实性/口径做独立核验）</t>
        </is>
      </c>
    </row>
    <row r="3">
      <c r="A3" s="5" t="inlineStr">
        <is>
          <t>提取时间</t>
        </is>
      </c>
      <c r="B3" s="3" t="inlineStr">
        <is>
          <t>2026-04-15 22:51:49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2026-04-15T14:51:49Z</dcterms:created>
  <dcterms:modified xmlns:dcterms="http://purl.org/dc/terms/" xmlns:xsi="http://www.w3.org/2001/XMLSchema-instance" xsi:type="dcterms:W3CDTF">2026-04-15T15:00:56Z</dcterms:modified>
</cp:coreProperties>
</file>