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" sheetId="1" state="visible" r:id="rId1"/>
    <sheet xmlns:r="http://schemas.openxmlformats.org/officeDocument/2006/relationships" name="人口假设" sheetId="2" state="visible" r:id="rId2"/>
    <sheet xmlns:r="http://schemas.openxmlformats.org/officeDocument/2006/relationships" name="人口来源" sheetId="3" state="visible" r:id="rId3"/>
    <sheet xmlns:r="http://schemas.openxmlformats.org/officeDocument/2006/relationships" name="实际GDP来源" sheetId="4" state="visible" r:id="rId4"/>
    <sheet xmlns:r="http://schemas.openxmlformats.org/officeDocument/2006/relationships" name="估算GDP" sheetId="5" state="visible" r:id="rId5"/>
    <sheet xmlns:r="http://schemas.openxmlformats.org/officeDocument/2006/relationships" name="数据表" sheetId="6" state="visible" r:id="rId6"/>
    <sheet xmlns:r="http://schemas.openxmlformats.org/officeDocument/2006/relationships" name="来源说明" sheetId="7" state="visible" r:id="rId7"/>
  </sheets>
  <definedNames>
    <definedName name="_xlnm._FilterDatabase" localSheetId="4" hidden="1">'估算GDP'!$A$1:$Q$26</definedName>
    <definedName name="_xlnm._FilterDatabase" localSheetId="5" hidden="1">'数据表'!$A$1:$F$26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left" vertical="top" wrapText="1"/>
    </xf>
    <xf numFmtId="3" fontId="2" fillId="0" borderId="0" applyAlignment="1" pivotButton="0" quotePrefix="0" xfId="0">
      <alignment horizontal="right" vertical="top"/>
    </xf>
    <xf numFmtId="0" fontId="3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5" customWidth="1" min="3" max="3"/>
    <col width="70" customWidth="1" min="4" max="4"/>
  </cols>
  <sheetData>
    <row r="1">
      <c r="A1" s="1" t="inlineStr">
        <is>
          <t>参数名</t>
        </is>
      </c>
      <c r="B1" s="1" t="inlineStr">
        <is>
          <t>数值</t>
        </is>
      </c>
      <c r="C1" s="1" t="inlineStr">
        <is>
          <t>单位/说明</t>
        </is>
      </c>
      <c r="D1" s="1" t="inlineStr">
        <is>
          <t>来源链接</t>
        </is>
      </c>
    </row>
    <row r="2">
      <c r="A2" s="3" t="inlineStr">
        <is>
          <t>全国居民人均消费支出(2024)</t>
        </is>
      </c>
      <c r="B2" s="6" t="n">
        <v>28227</v>
      </c>
      <c r="C2" s="6" t="inlineStr">
        <is>
          <t>元/年（用于推导“消费→GDP”换算系数的默认值）</t>
        </is>
      </c>
      <c r="D2" s="6" t="inlineStr">
        <is>
          <t>https://www.stats.gov.cn/sj/zxfb/202501/t20250117_1958325.html</t>
        </is>
      </c>
    </row>
    <row r="3">
      <c r="A3" s="3" t="inlineStr">
        <is>
          <t>全国人均GDP(2024)</t>
        </is>
      </c>
      <c r="B3" s="6" t="n">
        <v>95749</v>
      </c>
      <c r="C3" s="6" t="inlineStr">
        <is>
          <t>元/年（用于推导“消费→GDP”换算系数的默认值）</t>
        </is>
      </c>
      <c r="D3" s="6" t="inlineStr">
        <is>
          <t>https://www.stats.gov.cn/sj/zxfb/202502/t20250228_1958817.html</t>
        </is>
      </c>
    </row>
    <row r="4">
      <c r="A4" s="3" t="inlineStr">
        <is>
          <t>换算系数α=人均消费/人均GDP(默认)</t>
        </is>
      </c>
      <c r="B4" s="6">
        <f>B2/B3</f>
        <v/>
      </c>
      <c r="C4" s="6" t="inlineStr">
        <is>
          <t>无量纲；用于：人均GDP≈人均年消费/α（可手动改）</t>
        </is>
      </c>
      <c r="D4" s="6" t="inlineStr"/>
    </row>
    <row r="5">
      <c r="A5" s="3" t="inlineStr">
        <is>
          <t>默认男性占比(全国人口构成,2024)</t>
        </is>
      </c>
      <c r="B5" s="6" t="n">
        <v>0.511</v>
      </c>
      <c r="C5" s="6" t="inlineStr">
        <is>
          <t>比例（可在“人口假设”表按城市修改）</t>
        </is>
      </c>
      <c r="D5" s="6" t="inlineStr">
        <is>
          <t>https://www.stats.gov.cn/sj/zxfb/202502/t20250228_1958817.html</t>
        </is>
      </c>
    </row>
    <row r="6">
      <c r="A6" s="3" t="inlineStr">
        <is>
          <t>默认女性占比(全国人口构成,2024)</t>
        </is>
      </c>
      <c r="B6" s="6">
        <f>1-B5</f>
        <v/>
      </c>
      <c r="C6" s="6" t="inlineStr">
        <is>
          <t>比例</t>
        </is>
      </c>
      <c r="D6" s="6" t="inlineStr">
        <is>
          <t>同上</t>
        </is>
      </c>
    </row>
    <row r="7">
      <c r="A7" s="3" t="inlineStr">
        <is>
          <t>生成时间</t>
        </is>
      </c>
      <c r="B7" s="6" t="inlineStr">
        <is>
          <t>2026-04-15 23:00:56</t>
        </is>
      </c>
      <c r="C7" s="6" t="inlineStr"/>
      <c r="D7" s="6" t="inlineStr"/>
    </row>
    <row r="8">
      <c r="A8" t="inlineStr">
        <is>
          <t>HKD兑人民币(假设)</t>
        </is>
      </c>
      <c r="B8" t="n">
        <v>0.92</v>
      </c>
      <c r="C8" t="inlineStr">
        <is>
          <t>用于把香港实际GDP(港元)折算为人民币；可改</t>
        </is>
      </c>
      <c r="D8" t="inlineStr"/>
    </row>
    <row r="9">
      <c r="A9" t="inlineStr">
        <is>
          <t>MOP兑人民币(假设)</t>
        </is>
      </c>
      <c r="B9" t="n">
        <v>0.9</v>
      </c>
      <c r="C9" t="inlineStr">
        <is>
          <t>用于把澳门实际GDP(澳门元)折算为人民币；可改</t>
        </is>
      </c>
      <c r="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8" customWidth="1" min="4" max="4"/>
    <col width="40" customWidth="1" min="5" max="5"/>
  </cols>
  <sheetData>
    <row r="1">
      <c r="A1" s="1" t="inlineStr">
        <is>
          <t>城市</t>
        </is>
      </c>
      <c r="B1" s="1" t="inlineStr">
        <is>
          <t>总人口(万人，可选)</t>
        </is>
      </c>
      <c r="C1" s="1" t="inlineStr">
        <is>
          <t>男性占比</t>
        </is>
      </c>
      <c r="D1" s="1" t="inlineStr">
        <is>
          <t>女性占比</t>
        </is>
      </c>
      <c r="E1" s="1" t="inlineStr">
        <is>
          <t>备注/来源(可填)</t>
        </is>
      </c>
    </row>
    <row r="2">
      <c r="A2" s="7" t="inlineStr">
        <is>
          <t>香港</t>
        </is>
      </c>
      <c r="B2" s="14" t="n">
        <v>753.42</v>
      </c>
      <c r="C2" s="9">
        <f>参数!B5</f>
        <v/>
      </c>
      <c r="D2" s="9">
        <f>参数!B6</f>
        <v/>
      </c>
      <c r="E2" s="7" t="inlineStr">
        <is>
          <t>2024年末 年终人口（临时数字）；来源：https://www.info.gov.hk/gia/general/202502/18/P2025021800292.htm</t>
        </is>
      </c>
    </row>
    <row r="3">
      <c r="A3" s="7" t="inlineStr">
        <is>
          <t>澳门</t>
        </is>
      </c>
      <c r="B3" s="14" t="n">
        <v>68.83</v>
      </c>
      <c r="C3" s="9">
        <f>参数!B5</f>
        <v/>
      </c>
      <c r="D3" s="9">
        <f>参数!B6</f>
        <v/>
      </c>
      <c r="E3" s="7" t="inlineStr">
        <is>
          <t>2024年终 年终总人口；来源：https://www.dsec.gov.mo/getAttachment/bf633774-4b9e-4f4a-ab56-b7c2ce1d2cb4/C_POP_PUB_2024_Q4.aspx</t>
        </is>
      </c>
    </row>
    <row r="4">
      <c r="A4" s="7" t="inlineStr">
        <is>
          <t>台北</t>
        </is>
      </c>
      <c r="B4" s="14" t="n">
        <v>243.9507</v>
      </c>
      <c r="C4" s="9">
        <f>参数!B5</f>
        <v/>
      </c>
      <c r="D4" s="9">
        <f>参数!B6</f>
        <v/>
      </c>
      <c r="E4" s="7" t="inlineStr">
        <is>
          <t>2025年12月 户籍人口（口径与大陆常住人口不同）；来源：https://ca.gov.taipei/News_Content.aspx?n=8693DC9620A1AABF&amp;s=EE7D5719108F4026&amp;sms=D19E9582624D83CB</t>
        </is>
      </c>
    </row>
    <row r="5">
      <c r="A5" s="7" t="inlineStr">
        <is>
          <t>上海</t>
        </is>
      </c>
      <c r="B5" s="14" t="n">
        <v>2480.26</v>
      </c>
      <c r="C5" s="9">
        <f>参数!B5</f>
        <v/>
      </c>
      <c r="D5" s="9">
        <f>参数!B6</f>
        <v/>
      </c>
      <c r="E5" s="7" t="inlineStr">
        <is>
          <t>2024年末 常住人口；来源：https://tjj.sh.gov.cn/tjgb/20250324/a7fe18c6d5c24d66bfca89c5bb4cdcfb.html</t>
        </is>
      </c>
    </row>
    <row r="6">
      <c r="A6" s="7" t="inlineStr">
        <is>
          <t>北京</t>
        </is>
      </c>
      <c r="B6" s="14" t="n">
        <v>2183.2</v>
      </c>
      <c r="C6" s="9">
        <f>参数!B5</f>
        <v/>
      </c>
      <c r="D6" s="9">
        <f>参数!B6</f>
        <v/>
      </c>
      <c r="E6" s="7" t="inlineStr">
        <is>
          <t>2024年末 常住人口；来源：https://tjj.beijing.gov.cn/tjsj_31433/tjgb_31445/ndgb_31446/202503/t20250319_4038820.html</t>
        </is>
      </c>
    </row>
    <row r="7">
      <c r="A7" s="7" t="inlineStr">
        <is>
          <t>杭州</t>
        </is>
      </c>
      <c r="B7" s="14" t="n">
        <v>1262.4</v>
      </c>
      <c r="C7" s="9">
        <f>参数!B5</f>
        <v/>
      </c>
      <c r="D7" s="9">
        <f>参数!B6</f>
        <v/>
      </c>
      <c r="E7" s="7" t="inlineStr">
        <is>
          <t>2024年末 常住人口（抽样调查推算）；来源：https://www.hangzhou.gov.cn/art/2025/3/20/art_1229063404_4338664.html</t>
        </is>
      </c>
    </row>
    <row r="8">
      <c r="A8" s="7" t="inlineStr">
        <is>
          <t>南京</t>
        </is>
      </c>
      <c r="B8" s="14" t="n">
        <v>957.7</v>
      </c>
      <c r="C8" s="9">
        <f>参数!B5</f>
        <v/>
      </c>
      <c r="D8" s="9">
        <f>参数!B6</f>
        <v/>
      </c>
      <c r="E8" s="7" t="inlineStr">
        <is>
          <t>2024年末 常住人口；来源：https://tjj.nanjing.gov.cn/bmfw/njsj/202504/t20250401_5108490.html</t>
        </is>
      </c>
    </row>
    <row r="9">
      <c r="A9" s="7" t="inlineStr">
        <is>
          <t>武汉</t>
        </is>
      </c>
      <c r="B9" s="14" t="n">
        <v>1380.91</v>
      </c>
      <c r="C9" s="9">
        <f>参数!B5</f>
        <v/>
      </c>
      <c r="D9" s="9">
        <f>参数!B6</f>
        <v/>
      </c>
      <c r="E9" s="7" t="inlineStr">
        <is>
          <t>2024年末 常住人口；来源：https://tjj.wuhan.gov.cn/tjfw/tjgb/202503/t20250327_2558447.shtml</t>
        </is>
      </c>
    </row>
    <row r="10">
      <c r="A10" s="7" t="inlineStr">
        <is>
          <t>成都</t>
        </is>
      </c>
      <c r="B10" s="14" t="n">
        <v>2147.4</v>
      </c>
      <c r="C10" s="9">
        <f>参数!B5</f>
        <v/>
      </c>
      <c r="D10" s="9">
        <f>参数!B6</f>
        <v/>
      </c>
      <c r="E10" s="7" t="inlineStr">
        <is>
          <t>2024年末 常住人口；来源：https://cdstats.chengdu.gov.cn/cdstjj/c154795/2025-03/28/content_1f73d1378541456f83fd293eb6697eba.shtml</t>
        </is>
      </c>
    </row>
    <row r="11">
      <c r="A11" s="7" t="inlineStr">
        <is>
          <t>长沙</t>
        </is>
      </c>
      <c r="B11" s="14" t="n">
        <v>1061.65</v>
      </c>
      <c r="C11" s="9">
        <f>参数!B5</f>
        <v/>
      </c>
      <c r="D11" s="9">
        <f>参数!B6</f>
        <v/>
      </c>
      <c r="E11" s="7" t="inlineStr">
        <is>
          <t>2024年末 常住总人口；来源：http://tjj.hunan.gov.cn/tjfx/tjgb/szgb/szgb/zss_1/202505/t20250516_33673433.html</t>
        </is>
      </c>
    </row>
    <row r="12">
      <c r="A12" s="7" t="inlineStr">
        <is>
          <t>苏州</t>
        </is>
      </c>
      <c r="B12" s="14" t="n">
        <v>1298.7</v>
      </c>
      <c r="C12" s="9">
        <f>参数!B5</f>
        <v/>
      </c>
      <c r="D12" s="9">
        <f>参数!B6</f>
        <v/>
      </c>
      <c r="E12" s="7" t="inlineStr">
        <is>
          <t>2024年末 常住人口；来源：https://www.suzhou.gov.cn/szsrmzf/ndgmjjhshfztjsjfb/202506/c413b01f30224b7ba5ddbc1768cabe5c.shtml</t>
        </is>
      </c>
    </row>
    <row r="13">
      <c r="A13" s="7" t="inlineStr">
        <is>
          <t>天津</t>
        </is>
      </c>
      <c r="B13" s="14" t="n">
        <v>1364</v>
      </c>
      <c r="C13" s="9">
        <f>参数!B5</f>
        <v/>
      </c>
      <c r="D13" s="9">
        <f>参数!B6</f>
        <v/>
      </c>
      <c r="E13" s="7" t="inlineStr">
        <is>
          <t>2024年末 常住人口总量；来源：https://stats.tj.gov.cn/tjsj_52032/tjgb/202503/t20250321_6889872.html</t>
        </is>
      </c>
    </row>
    <row r="14">
      <c r="A14" s="7" t="inlineStr">
        <is>
          <t>厦门</t>
        </is>
      </c>
      <c r="B14" s="14" t="n">
        <v>535</v>
      </c>
      <c r="C14" s="9">
        <f>参数!B5</f>
        <v/>
      </c>
      <c r="D14" s="9">
        <f>参数!B6</f>
        <v/>
      </c>
      <c r="E14" s="7" t="inlineStr">
        <is>
          <t>2024年末 常住人口；来源：https://tjj.xm.gov.cn/tjzl/ndgb/202503/t20250326_2924164.htm</t>
        </is>
      </c>
    </row>
    <row r="15">
      <c r="A15" s="7" t="inlineStr">
        <is>
          <t>深圳</t>
        </is>
      </c>
      <c r="B15" s="14" t="n">
        <v>1798.95</v>
      </c>
      <c r="C15" s="9">
        <f>参数!B5</f>
        <v/>
      </c>
      <c r="D15" s="9">
        <f>参数!B6</f>
        <v/>
      </c>
      <c r="E15" s="7" t="inlineStr">
        <is>
          <t>2024年末 常住人口；来源：https://tjj.sz.gov.cn/zwgk/zfxxgkml/tjsj/tjgb/content/post_12190509.html</t>
        </is>
      </c>
    </row>
    <row r="16">
      <c r="A16" s="7" t="inlineStr">
        <is>
          <t>重庆</t>
        </is>
      </c>
      <c r="B16" s="14" t="n">
        <v>3190.47</v>
      </c>
      <c r="C16" s="9">
        <f>参数!B5</f>
        <v/>
      </c>
      <c r="D16" s="9">
        <f>参数!B6</f>
        <v/>
      </c>
      <c r="E16" s="7" t="inlineStr">
        <is>
          <t>2024年末 常住人口；来源：https://www.cq.gov.cn/zwgk/zfxxgkzl/fdzdgknr/tjxx/tjgb/202503/t20250326_14569744.html</t>
        </is>
      </c>
    </row>
    <row r="17">
      <c r="A17" s="7" t="inlineStr">
        <is>
          <t>宁波</t>
        </is>
      </c>
      <c r="B17" s="14" t="n">
        <v>977.7</v>
      </c>
      <c r="C17" s="9">
        <f>参数!B5</f>
        <v/>
      </c>
      <c r="D17" s="9">
        <f>参数!B6</f>
        <v/>
      </c>
      <c r="E17" s="7" t="inlineStr">
        <is>
          <t>2024年末 常住人口（抽样调查推算）；来源：http://tjj.ningbo.gov.cn/art/2025/3/20/art_1229042825_58921061.html</t>
        </is>
      </c>
    </row>
    <row r="18">
      <c r="A18" s="7" t="inlineStr">
        <is>
          <t>西安</t>
        </is>
      </c>
      <c r="B18" s="14" t="n">
        <v>1316.76</v>
      </c>
      <c r="C18" s="9">
        <f>参数!B5</f>
        <v/>
      </c>
      <c r="D18" s="9">
        <f>参数!B6</f>
        <v/>
      </c>
      <c r="E18" s="7" t="inlineStr">
        <is>
          <t>2024年末 常住人口；来源：https://tjj.shaanxi.gov.cn/tjsj/ndsj/tjgb/gs/202506/P020250616389699615236.pdf</t>
        </is>
      </c>
    </row>
    <row r="19">
      <c r="A19" s="7" t="inlineStr">
        <is>
          <t>广州</t>
        </is>
      </c>
      <c r="B19" s="14" t="n">
        <v>1897.8</v>
      </c>
      <c r="C19" s="9">
        <f>参数!B5</f>
        <v/>
      </c>
      <c r="D19" s="9">
        <f>参数!B6</f>
        <v/>
      </c>
      <c r="E19" s="7" t="inlineStr">
        <is>
          <t>2024年末 常住人口；来源：https://tjj.gz.gov.cn/stats_newtjyw/tjsj/tjgb/qstjgb/content/post_10203416.html</t>
        </is>
      </c>
    </row>
    <row r="20">
      <c r="A20" s="7" t="inlineStr">
        <is>
          <t>济南</t>
        </is>
      </c>
      <c r="B20" s="14" t="n">
        <v>951.5</v>
      </c>
      <c r="C20" s="9">
        <f>参数!B5</f>
        <v/>
      </c>
      <c r="D20" s="9">
        <f>参数!B6</f>
        <v/>
      </c>
      <c r="E20" s="7" t="inlineStr">
        <is>
          <t>2024年末 常住人口；来源：http://jntj.jinan.gov.cn/col18254/art/2025/art_18254_4754709.html</t>
        </is>
      </c>
    </row>
    <row r="21">
      <c r="A21" s="7" t="inlineStr">
        <is>
          <t>郑州</t>
        </is>
      </c>
      <c r="B21" s="14" t="n">
        <v>1308.6</v>
      </c>
      <c r="C21" s="9">
        <f>参数!B5</f>
        <v/>
      </c>
      <c r="D21" s="9">
        <f>参数!B6</f>
        <v/>
      </c>
      <c r="E21" s="7" t="inlineStr">
        <is>
          <t>2024年末 常住人口；来源：https://tjj.zhengzhou.gov.cn/tjgb/9230847.jhtml</t>
        </is>
      </c>
    </row>
    <row r="22">
      <c r="A22" s="7" t="inlineStr">
        <is>
          <t>青岛</t>
        </is>
      </c>
      <c r="B22" s="14" t="n">
        <v>1044.25</v>
      </c>
      <c r="C22" s="9">
        <f>参数!B5</f>
        <v/>
      </c>
      <c r="D22" s="9">
        <f>参数!B6</f>
        <v/>
      </c>
      <c r="E22" s="7" t="inlineStr">
        <is>
          <t>2024年末 常住人口；来源：http://qdtj.qingdao.gov.cn/tongjisj/tjsj_tjgb/202504/t20250408_9303012.shtml</t>
        </is>
      </c>
    </row>
    <row r="23">
      <c r="A23" s="7" t="inlineStr">
        <is>
          <t>福州</t>
        </is>
      </c>
      <c r="B23" s="14" t="n">
        <v>850.1</v>
      </c>
      <c r="C23" s="9">
        <f>参数!B5</f>
        <v/>
      </c>
      <c r="D23" s="9">
        <f>参数!B6</f>
        <v/>
      </c>
      <c r="E23" s="7" t="inlineStr">
        <is>
          <t>2024年末 常住人口；来源：https://www.fuzhou.gov.cn/zwgk/tjxx/ndbg/202504/t20250403_4999354.htm</t>
        </is>
      </c>
    </row>
    <row r="24">
      <c r="A24" s="7" t="inlineStr">
        <is>
          <t>合肥</t>
        </is>
      </c>
      <c r="B24" s="14" t="n">
        <v>1000.2</v>
      </c>
      <c r="C24" s="9">
        <f>参数!B5</f>
        <v/>
      </c>
      <c r="D24" s="9">
        <f>参数!B6</f>
        <v/>
      </c>
      <c r="E24" s="7" t="inlineStr">
        <is>
          <t>2024年末 常住人口；来源：https://tjj.hefei.gov.cn/tjyw/tjgb/15296487.html</t>
        </is>
      </c>
    </row>
    <row r="25">
      <c r="A25" s="7" t="inlineStr">
        <is>
          <t>沈阳</t>
        </is>
      </c>
      <c r="B25" s="14" t="n">
        <v>924.3</v>
      </c>
      <c r="C25" s="9">
        <f>参数!B5</f>
        <v/>
      </c>
      <c r="D25" s="9">
        <f>参数!B6</f>
        <v/>
      </c>
      <c r="E25" s="7" t="inlineStr">
        <is>
          <t>2024年末 常住人口；来源：https://www.shenyang.gov.cn/zwgk/fdzdgknr/tjxx/tjgb/202504/t20250423_4841162.html</t>
        </is>
      </c>
    </row>
    <row r="26">
      <c r="A26" s="7" t="inlineStr">
        <is>
          <t>大连</t>
        </is>
      </c>
      <c r="B26" s="14" t="n">
        <v>754.4</v>
      </c>
      <c r="C26" s="9">
        <f>参数!B5</f>
        <v/>
      </c>
      <c r="D26" s="9">
        <f>参数!B6</f>
        <v/>
      </c>
      <c r="E26" s="7" t="inlineStr">
        <is>
          <t>（来源页未注明） 常住人口；来源：https://www.ln.gov.cn/web/sqgk/csmp/2025101310551499142/index.shtml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9" customWidth="1" min="4" max="4"/>
    <col width="70" customWidth="1" min="5" max="5"/>
    <col width="21" customWidth="1" min="6" max="6"/>
  </cols>
  <sheetData>
    <row r="1">
      <c r="A1" s="1" t="inlineStr">
        <is>
          <t>城市</t>
        </is>
      </c>
      <c r="B1" s="1" t="inlineStr">
        <is>
          <t>人口(万人)</t>
        </is>
      </c>
      <c r="C1" s="1" t="inlineStr">
        <is>
          <t>统计年份</t>
        </is>
      </c>
      <c r="D1" s="1" t="inlineStr">
        <is>
          <t>口径说明</t>
        </is>
      </c>
      <c r="E1" s="1" t="inlineStr">
        <is>
          <t>官方URL</t>
        </is>
      </c>
      <c r="F1" s="1" t="inlineStr">
        <is>
          <t>抓取/整理时间</t>
        </is>
      </c>
    </row>
    <row r="2">
      <c r="A2" s="7" t="inlineStr">
        <is>
          <t>香港</t>
        </is>
      </c>
      <c r="B2" s="14" t="n">
        <v>753.42</v>
      </c>
      <c r="C2" s="7" t="inlineStr">
        <is>
          <t>2024年末</t>
        </is>
      </c>
      <c r="D2" s="7" t="inlineStr">
        <is>
          <t>年终人口（临时数字）</t>
        </is>
      </c>
      <c r="E2" s="7" t="inlineStr">
        <is>
          <t>https://www.info.gov.hk/gia/general/202502/18/P2025021800292.htm</t>
        </is>
      </c>
      <c r="F2" s="7" t="inlineStr">
        <is>
          <t>2026-04-15 23:53:20</t>
        </is>
      </c>
    </row>
    <row r="3">
      <c r="A3" s="7" t="inlineStr">
        <is>
          <t>澳门</t>
        </is>
      </c>
      <c r="B3" s="14" t="n">
        <v>68.83</v>
      </c>
      <c r="C3" s="7" t="inlineStr">
        <is>
          <t>2024年终</t>
        </is>
      </c>
      <c r="D3" s="7" t="inlineStr">
        <is>
          <t>年终总人口</t>
        </is>
      </c>
      <c r="E3" s="7" t="inlineStr">
        <is>
          <t>https://www.dsec.gov.mo/getAttachment/bf633774-4b9e-4f4a-ab56-b7c2ce1d2cb4/C_POP_PUB_2024_Q4.aspx</t>
        </is>
      </c>
      <c r="F3" s="7" t="inlineStr">
        <is>
          <t>2026-04-15 23:53:20</t>
        </is>
      </c>
    </row>
    <row r="4">
      <c r="A4" s="7" t="inlineStr">
        <is>
          <t>台北</t>
        </is>
      </c>
      <c r="B4" s="14" t="n">
        <v>243.9507</v>
      </c>
      <c r="C4" s="7" t="inlineStr">
        <is>
          <t>2025年12月</t>
        </is>
      </c>
      <c r="D4" s="7" t="inlineStr">
        <is>
          <t>户籍人口（口径与大陆常住人口不同）</t>
        </is>
      </c>
      <c r="E4" s="7" t="inlineStr">
        <is>
          <t>https://ca.gov.taipei/News_Content.aspx?n=8693DC9620A1AABF&amp;s=EE7D5719108F4026&amp;sms=D19E9582624D83CB</t>
        </is>
      </c>
      <c r="F4" s="7" t="inlineStr">
        <is>
          <t>2026-04-15 23:53:20</t>
        </is>
      </c>
    </row>
    <row r="5">
      <c r="A5" s="7" t="inlineStr">
        <is>
          <t>上海</t>
        </is>
      </c>
      <c r="B5" s="14" t="n">
        <v>2480.26</v>
      </c>
      <c r="C5" s="7" t="inlineStr">
        <is>
          <t>2024年末</t>
        </is>
      </c>
      <c r="D5" s="7" t="inlineStr">
        <is>
          <t>常住人口</t>
        </is>
      </c>
      <c r="E5" s="7" t="inlineStr">
        <is>
          <t>https://tjj.sh.gov.cn/tjgb/20250324/a7fe18c6d5c24d66bfca89c5bb4cdcfb.html</t>
        </is>
      </c>
      <c r="F5" s="7" t="inlineStr">
        <is>
          <t>2026-04-15 23:53:20</t>
        </is>
      </c>
    </row>
    <row r="6">
      <c r="A6" s="7" t="inlineStr">
        <is>
          <t>北京</t>
        </is>
      </c>
      <c r="B6" s="14" t="n">
        <v>2183.2</v>
      </c>
      <c r="C6" s="7" t="inlineStr">
        <is>
          <t>2024年末</t>
        </is>
      </c>
      <c r="D6" s="7" t="inlineStr">
        <is>
          <t>常住人口</t>
        </is>
      </c>
      <c r="E6" s="7" t="inlineStr">
        <is>
          <t>https://tjj.beijing.gov.cn/tjsj_31433/tjgb_31445/ndgb_31446/202503/t20250319_4038820.html</t>
        </is>
      </c>
      <c r="F6" s="7" t="inlineStr">
        <is>
          <t>2026-04-15 23:53:20</t>
        </is>
      </c>
    </row>
    <row r="7">
      <c r="A7" s="7" t="inlineStr">
        <is>
          <t>杭州</t>
        </is>
      </c>
      <c r="B7" s="14" t="n">
        <v>1262.4</v>
      </c>
      <c r="C7" s="7" t="inlineStr">
        <is>
          <t>2024年末</t>
        </is>
      </c>
      <c r="D7" s="7" t="inlineStr">
        <is>
          <t>常住人口（抽样调查推算）</t>
        </is>
      </c>
      <c r="E7" s="7" t="inlineStr">
        <is>
          <t>https://www.hangzhou.gov.cn/art/2025/3/20/art_1229063404_4338664.html</t>
        </is>
      </c>
      <c r="F7" s="7" t="inlineStr">
        <is>
          <t>2026-04-15 23:53:20</t>
        </is>
      </c>
    </row>
    <row r="8">
      <c r="A8" s="7" t="inlineStr">
        <is>
          <t>南京</t>
        </is>
      </c>
      <c r="B8" s="14" t="n">
        <v>957.7</v>
      </c>
      <c r="C8" s="7" t="inlineStr">
        <is>
          <t>2024年末</t>
        </is>
      </c>
      <c r="D8" s="7" t="inlineStr">
        <is>
          <t>常住人口</t>
        </is>
      </c>
      <c r="E8" s="7" t="inlineStr">
        <is>
          <t>https://tjj.nanjing.gov.cn/bmfw/njsj/202504/t20250401_5108490.html</t>
        </is>
      </c>
      <c r="F8" s="7" t="inlineStr">
        <is>
          <t>2026-04-15 23:53:20</t>
        </is>
      </c>
    </row>
    <row r="9">
      <c r="A9" s="7" t="inlineStr">
        <is>
          <t>武汉</t>
        </is>
      </c>
      <c r="B9" s="14" t="n">
        <v>1380.91</v>
      </c>
      <c r="C9" s="7" t="inlineStr">
        <is>
          <t>2024年末</t>
        </is>
      </c>
      <c r="D9" s="7" t="inlineStr">
        <is>
          <t>常住人口</t>
        </is>
      </c>
      <c r="E9" s="7" t="inlineStr">
        <is>
          <t>https://tjj.wuhan.gov.cn/tjfw/tjgb/202503/t20250327_2558447.shtml</t>
        </is>
      </c>
      <c r="F9" s="7" t="inlineStr">
        <is>
          <t>2026-04-15 23:53:20</t>
        </is>
      </c>
    </row>
    <row r="10">
      <c r="A10" s="7" t="inlineStr">
        <is>
          <t>成都</t>
        </is>
      </c>
      <c r="B10" s="14" t="n">
        <v>2147.4</v>
      </c>
      <c r="C10" s="7" t="inlineStr">
        <is>
          <t>2024年末</t>
        </is>
      </c>
      <c r="D10" s="7" t="inlineStr">
        <is>
          <t>常住人口</t>
        </is>
      </c>
      <c r="E10" s="7" t="inlineStr">
        <is>
          <t>https://cdstats.chengdu.gov.cn/cdstjj/c154795/2025-03/28/content_1f73d1378541456f83fd293eb6697eba.shtml</t>
        </is>
      </c>
      <c r="F10" s="7" t="inlineStr">
        <is>
          <t>2026-04-15 23:53:20</t>
        </is>
      </c>
    </row>
    <row r="11">
      <c r="A11" s="7" t="inlineStr">
        <is>
          <t>长沙</t>
        </is>
      </c>
      <c r="B11" s="14" t="n">
        <v>1061.65</v>
      </c>
      <c r="C11" s="7" t="inlineStr">
        <is>
          <t>2024年末</t>
        </is>
      </c>
      <c r="D11" s="7" t="inlineStr">
        <is>
          <t>常住总人口</t>
        </is>
      </c>
      <c r="E11" s="7" t="inlineStr">
        <is>
          <t>http://tjj.hunan.gov.cn/tjfx/tjgb/szgb/szgb/zss_1/202505/t20250516_33673433.html</t>
        </is>
      </c>
      <c r="F11" s="7" t="inlineStr">
        <is>
          <t>2026-04-15 23:53:20</t>
        </is>
      </c>
    </row>
    <row r="12">
      <c r="A12" s="7" t="inlineStr">
        <is>
          <t>苏州</t>
        </is>
      </c>
      <c r="B12" s="14" t="n">
        <v>1298.7</v>
      </c>
      <c r="C12" s="7" t="inlineStr">
        <is>
          <t>2024年末</t>
        </is>
      </c>
      <c r="D12" s="7" t="inlineStr">
        <is>
          <t>常住人口</t>
        </is>
      </c>
      <c r="E12" s="7" t="inlineStr">
        <is>
          <t>https://www.suzhou.gov.cn/szsrmzf/ndgmjjhshfztjsjfb/202506/c413b01f30224b7ba5ddbc1768cabe5c.shtml</t>
        </is>
      </c>
      <c r="F12" s="7" t="inlineStr">
        <is>
          <t>2026-04-15 23:53:20</t>
        </is>
      </c>
    </row>
    <row r="13">
      <c r="A13" s="7" t="inlineStr">
        <is>
          <t>天津</t>
        </is>
      </c>
      <c r="B13" s="14" t="n">
        <v>1364</v>
      </c>
      <c r="C13" s="7" t="inlineStr">
        <is>
          <t>2024年末</t>
        </is>
      </c>
      <c r="D13" s="7" t="inlineStr">
        <is>
          <t>常住人口总量</t>
        </is>
      </c>
      <c r="E13" s="7" t="inlineStr">
        <is>
          <t>https://stats.tj.gov.cn/tjsj_52032/tjgb/202503/t20250321_6889872.html</t>
        </is>
      </c>
      <c r="F13" s="7" t="inlineStr">
        <is>
          <t>2026-04-15 23:53:20</t>
        </is>
      </c>
    </row>
    <row r="14">
      <c r="A14" s="7" t="inlineStr">
        <is>
          <t>厦门</t>
        </is>
      </c>
      <c r="B14" s="14" t="n">
        <v>535</v>
      </c>
      <c r="C14" s="7" t="inlineStr">
        <is>
          <t>2024年末</t>
        </is>
      </c>
      <c r="D14" s="7" t="inlineStr">
        <is>
          <t>常住人口</t>
        </is>
      </c>
      <c r="E14" s="7" t="inlineStr">
        <is>
          <t>https://tjj.xm.gov.cn/tjzl/ndgb/202503/t20250326_2924164.htm</t>
        </is>
      </c>
      <c r="F14" s="7" t="inlineStr">
        <is>
          <t>2026-04-15 23:53:20</t>
        </is>
      </c>
    </row>
    <row r="15">
      <c r="A15" s="7" t="inlineStr">
        <is>
          <t>深圳</t>
        </is>
      </c>
      <c r="B15" s="14" t="n">
        <v>1798.95</v>
      </c>
      <c r="C15" s="7" t="inlineStr">
        <is>
          <t>2024年末</t>
        </is>
      </c>
      <c r="D15" s="7" t="inlineStr">
        <is>
          <t>常住人口</t>
        </is>
      </c>
      <c r="E15" s="7" t="inlineStr">
        <is>
          <t>https://tjj.sz.gov.cn/zwgk/zfxxgkml/tjsj/tjgb/content/post_12190509.html</t>
        </is>
      </c>
      <c r="F15" s="7" t="inlineStr">
        <is>
          <t>2026-04-15 23:53:20</t>
        </is>
      </c>
    </row>
    <row r="16">
      <c r="A16" s="7" t="inlineStr">
        <is>
          <t>重庆</t>
        </is>
      </c>
      <c r="B16" s="14" t="n">
        <v>3190.47</v>
      </c>
      <c r="C16" s="7" t="inlineStr">
        <is>
          <t>2024年末</t>
        </is>
      </c>
      <c r="D16" s="7" t="inlineStr">
        <is>
          <t>常住人口</t>
        </is>
      </c>
      <c r="E16" s="7" t="inlineStr">
        <is>
          <t>https://www.cq.gov.cn/zwgk/zfxxgkzl/fdzdgknr/tjxx/tjgb/202503/t20250326_14569744.html</t>
        </is>
      </c>
      <c r="F16" s="7" t="inlineStr">
        <is>
          <t>2026-04-15 23:53:20</t>
        </is>
      </c>
    </row>
    <row r="17">
      <c r="A17" s="7" t="inlineStr">
        <is>
          <t>宁波</t>
        </is>
      </c>
      <c r="B17" s="14" t="n">
        <v>977.7</v>
      </c>
      <c r="C17" s="7" t="inlineStr">
        <is>
          <t>2024年末</t>
        </is>
      </c>
      <c r="D17" s="7" t="inlineStr">
        <is>
          <t>常住人口（抽样调查推算）</t>
        </is>
      </c>
      <c r="E17" s="7" t="inlineStr">
        <is>
          <t>http://tjj.ningbo.gov.cn/art/2025/3/20/art_1229042825_58921061.html</t>
        </is>
      </c>
      <c r="F17" s="7" t="inlineStr">
        <is>
          <t>2026-04-15 23:53:20</t>
        </is>
      </c>
    </row>
    <row r="18">
      <c r="A18" s="7" t="inlineStr">
        <is>
          <t>西安</t>
        </is>
      </c>
      <c r="B18" s="14" t="n">
        <v>1316.76</v>
      </c>
      <c r="C18" s="7" t="inlineStr">
        <is>
          <t>2024年末</t>
        </is>
      </c>
      <c r="D18" s="7" t="inlineStr">
        <is>
          <t>常住人口</t>
        </is>
      </c>
      <c r="E18" s="7" t="inlineStr">
        <is>
          <t>https://tjj.shaanxi.gov.cn/tjsj/ndsj/tjgb/gs/202506/P020250616389699615236.pdf</t>
        </is>
      </c>
      <c r="F18" s="7" t="inlineStr">
        <is>
          <t>2026-04-15 23:53:20</t>
        </is>
      </c>
    </row>
    <row r="19">
      <c r="A19" s="7" t="inlineStr">
        <is>
          <t>广州</t>
        </is>
      </c>
      <c r="B19" s="14" t="n">
        <v>1897.8</v>
      </c>
      <c r="C19" s="7" t="inlineStr">
        <is>
          <t>2024年末</t>
        </is>
      </c>
      <c r="D19" s="7" t="inlineStr">
        <is>
          <t>常住人口</t>
        </is>
      </c>
      <c r="E19" s="7" t="inlineStr">
        <is>
          <t>https://tjj.gz.gov.cn/stats_newtjyw/tjsj/tjgb/qstjgb/content/post_10203416.html</t>
        </is>
      </c>
      <c r="F19" s="7" t="inlineStr">
        <is>
          <t>2026-04-15 23:53:20</t>
        </is>
      </c>
    </row>
    <row r="20">
      <c r="A20" s="7" t="inlineStr">
        <is>
          <t>济南</t>
        </is>
      </c>
      <c r="B20" s="14" t="n">
        <v>951.5</v>
      </c>
      <c r="C20" s="7" t="inlineStr">
        <is>
          <t>2024年末</t>
        </is>
      </c>
      <c r="D20" s="7" t="inlineStr">
        <is>
          <t>常住人口</t>
        </is>
      </c>
      <c r="E20" s="7" t="inlineStr">
        <is>
          <t>http://jntj.jinan.gov.cn/col18254/art/2025/art_18254_4754709.html</t>
        </is>
      </c>
      <c r="F20" s="7" t="inlineStr">
        <is>
          <t>2026-04-15 23:53:20</t>
        </is>
      </c>
    </row>
    <row r="21">
      <c r="A21" s="7" t="inlineStr">
        <is>
          <t>郑州</t>
        </is>
      </c>
      <c r="B21" s="14" t="n">
        <v>1308.6</v>
      </c>
      <c r="C21" s="7" t="inlineStr">
        <is>
          <t>2024年末</t>
        </is>
      </c>
      <c r="D21" s="7" t="inlineStr">
        <is>
          <t>常住人口</t>
        </is>
      </c>
      <c r="E21" s="7" t="inlineStr">
        <is>
          <t>https://tjj.zhengzhou.gov.cn/tjgb/9230847.jhtml</t>
        </is>
      </c>
      <c r="F21" s="7" t="inlineStr">
        <is>
          <t>2026-04-15 23:53:20</t>
        </is>
      </c>
    </row>
    <row r="22">
      <c r="A22" s="7" t="inlineStr">
        <is>
          <t>青岛</t>
        </is>
      </c>
      <c r="B22" s="14" t="n">
        <v>1044.25</v>
      </c>
      <c r="C22" s="7" t="inlineStr">
        <is>
          <t>2024年末</t>
        </is>
      </c>
      <c r="D22" s="7" t="inlineStr">
        <is>
          <t>常住人口</t>
        </is>
      </c>
      <c r="E22" s="7" t="inlineStr">
        <is>
          <t>http://qdtj.qingdao.gov.cn/tongjisj/tjsj_tjgb/202504/t20250408_9303012.shtml</t>
        </is>
      </c>
      <c r="F22" s="7" t="inlineStr">
        <is>
          <t>2026-04-15 23:53:20</t>
        </is>
      </c>
    </row>
    <row r="23">
      <c r="A23" s="7" t="inlineStr">
        <is>
          <t>福州</t>
        </is>
      </c>
      <c r="B23" s="14" t="n">
        <v>850.1</v>
      </c>
      <c r="C23" s="7" t="inlineStr">
        <is>
          <t>2024年末</t>
        </is>
      </c>
      <c r="D23" s="7" t="inlineStr">
        <is>
          <t>常住人口</t>
        </is>
      </c>
      <c r="E23" s="7" t="inlineStr">
        <is>
          <t>https://www.fuzhou.gov.cn/zwgk/tjxx/ndbg/202504/t20250403_4999354.htm</t>
        </is>
      </c>
      <c r="F23" s="7" t="inlineStr">
        <is>
          <t>2026-04-15 23:53:20</t>
        </is>
      </c>
    </row>
    <row r="24">
      <c r="A24" s="7" t="inlineStr">
        <is>
          <t>合肥</t>
        </is>
      </c>
      <c r="B24" s="14" t="n">
        <v>1000.2</v>
      </c>
      <c r="C24" s="7" t="inlineStr">
        <is>
          <t>2024年末</t>
        </is>
      </c>
      <c r="D24" s="7" t="inlineStr">
        <is>
          <t>常住人口</t>
        </is>
      </c>
      <c r="E24" s="7" t="inlineStr">
        <is>
          <t>https://tjj.hefei.gov.cn/tjyw/tjgb/15296487.html</t>
        </is>
      </c>
      <c r="F24" s="7" t="inlineStr">
        <is>
          <t>2026-04-15 23:53:20</t>
        </is>
      </c>
    </row>
    <row r="25">
      <c r="A25" s="7" t="inlineStr">
        <is>
          <t>沈阳</t>
        </is>
      </c>
      <c r="B25" s="14" t="n">
        <v>924.3</v>
      </c>
      <c r="C25" s="7" t="inlineStr">
        <is>
          <t>2024年末</t>
        </is>
      </c>
      <c r="D25" s="7" t="inlineStr">
        <is>
          <t>常住人口</t>
        </is>
      </c>
      <c r="E25" s="7" t="inlineStr">
        <is>
          <t>https://www.shenyang.gov.cn/zwgk/fdzdgknr/tjxx/tjgb/202504/t20250423_4841162.html</t>
        </is>
      </c>
      <c r="F25" s="7" t="inlineStr">
        <is>
          <t>2026-04-15 23:53:20</t>
        </is>
      </c>
    </row>
    <row r="26">
      <c r="A26" s="7" t="inlineStr">
        <is>
          <t>大连</t>
        </is>
      </c>
      <c r="B26" s="14" t="n">
        <v>754.4</v>
      </c>
      <c r="C26" s="7" t="inlineStr">
        <is>
          <t>（来源页未注明）</t>
        </is>
      </c>
      <c r="D26" s="7" t="inlineStr">
        <is>
          <t>常住人口</t>
        </is>
      </c>
      <c r="E26" s="7" t="inlineStr">
        <is>
          <t>https://www.ln.gov.cn/web/sqgk/csmp/2025101310551499142/index.shtml</t>
        </is>
      </c>
      <c r="F26" s="7" t="inlineStr">
        <is>
          <t>2026-04-15 23:53:20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8" customWidth="1" min="3" max="3"/>
    <col width="90" customWidth="1" min="4" max="4"/>
    <col width="8" customWidth="1" min="5" max="5"/>
    <col width="43" customWidth="1" min="6" max="6"/>
    <col width="70" customWidth="1" min="7" max="7"/>
    <col width="21" customWidth="1" min="8" max="8"/>
  </cols>
  <sheetData>
    <row r="1">
      <c r="A1" s="1" t="inlineStr">
        <is>
          <t>城市</t>
        </is>
      </c>
      <c r="B1" s="1" t="inlineStr">
        <is>
          <t>实际GDP(亿元,当地币)</t>
        </is>
      </c>
      <c r="C1" s="1" t="inlineStr">
        <is>
          <t>币种</t>
        </is>
      </c>
      <c r="D1" s="1" t="inlineStr">
        <is>
          <t>实际GDP(亿元,折人民币)</t>
        </is>
      </c>
      <c r="E1" s="1" t="inlineStr">
        <is>
          <t>年份</t>
        </is>
      </c>
      <c r="F1" s="1" t="inlineStr">
        <is>
          <t>口径/备注</t>
        </is>
      </c>
      <c r="G1" s="1" t="inlineStr">
        <is>
          <t>官方URL</t>
        </is>
      </c>
      <c r="H1" s="1" t="inlineStr">
        <is>
          <t>整理时间</t>
        </is>
      </c>
    </row>
    <row r="2">
      <c r="A2" s="7" t="inlineStr">
        <is>
          <t>香港</t>
        </is>
      </c>
      <c r="B2" s="13" t="n">
        <v>31868.41</v>
      </c>
      <c r="C2" s="7" t="inlineStr">
        <is>
          <t>HKD</t>
        </is>
      </c>
      <c r="D2" s="13">
        <f>IF(B2="","",IF(C2="CNY",B2,IF(C2="HKD",B2*(XLOOKUP("HKD兑人民币(假设)",参数!A:A,参数!B:B,"")),IF(C2="MOP",B2*(XLOOKUP("MOP兑人民币(假设)",参数!A:A,参数!B:B,"")),""))))</f>
        <v/>
      </c>
      <c r="E2" s="7" t="n">
        <v>2024</v>
      </c>
      <c r="F2" s="7" t="inlineStr">
        <is>
          <t>当年价格GDP：HK$3,186,841 million=31,868.41亿港元</t>
        </is>
      </c>
      <c r="G2" s="7" t="inlineStr">
        <is>
          <t>https://www.censtatd.gov.hk/en/web_table.html?id=310-31001</t>
        </is>
      </c>
      <c r="H2" s="7" t="inlineStr">
        <is>
          <t>2026-04-16 00:30:18</t>
        </is>
      </c>
    </row>
    <row r="3">
      <c r="A3" s="7" t="inlineStr">
        <is>
          <t>澳门</t>
        </is>
      </c>
      <c r="B3" s="13" t="n">
        <v>4033</v>
      </c>
      <c r="C3" s="7" t="inlineStr">
        <is>
          <t>MOP</t>
        </is>
      </c>
      <c r="D3" s="13">
        <f>IF(B3="","",IF(C3="CNY",B3,IF(C3="HKD",B3*(XLOOKUP("HKD兑人民币(假设)",参数!A:A,参数!B:B,"")),IF(C3="MOP",B3*(XLOOKUP("MOP兑人民币(假设)",参数!A:A,参数!B:B,"")),""))))</f>
        <v/>
      </c>
      <c r="E3" s="7" t="n">
        <v>2024</v>
      </c>
      <c r="F3" s="7" t="inlineStr">
        <is>
          <t>本地生产总值：4,033亿澳门元</t>
        </is>
      </c>
      <c r="G3" s="7" t="inlineStr">
        <is>
          <t>https://www.dsec.gov.mo/getAttachment/90256017-8545-4a31-a9cf-9fb828e1040e/SC_PIB_FR_2024_Q4.aspx</t>
        </is>
      </c>
      <c r="H3" s="7" t="inlineStr">
        <is>
          <t>2026-04-16 00:30:18</t>
        </is>
      </c>
    </row>
    <row r="4">
      <c r="A4" s="7" t="inlineStr">
        <is>
          <t>台北</t>
        </is>
      </c>
      <c r="B4" s="13" t="n"/>
      <c r="C4" s="7" t="inlineStr"/>
      <c r="D4" s="13">
        <f>IF(B4="","",IF(C4="CNY",B4,IF(C4="HKD",B4*(XLOOKUP("HKD兑人民币(假设)",参数!A:A,参数!B:B,"")),IF(C4="MOP",B4*(XLOOKUP("MOP兑人民币(假设)",参数!A:A,参数!B:B,"")),""))))</f>
        <v/>
      </c>
      <c r="E4" s="7" t="n"/>
      <c r="F4" s="7" t="inlineStr">
        <is>
          <t>未找到可核验的台北市官方市级GDP公开值</t>
        </is>
      </c>
      <c r="G4" s="7" t="inlineStr"/>
      <c r="H4" s="7" t="inlineStr">
        <is>
          <t>2026-04-16 00:30:18</t>
        </is>
      </c>
    </row>
    <row r="5">
      <c r="A5" s="7" t="inlineStr">
        <is>
          <t>上海</t>
        </is>
      </c>
      <c r="B5" s="13" t="n">
        <v>53926.71</v>
      </c>
      <c r="C5" s="7" t="inlineStr">
        <is>
          <t>CNY</t>
        </is>
      </c>
      <c r="D5" s="13">
        <f>IF(B5="","",IF(C5="CNY",B5,IF(C5="HKD",B5*(XLOOKUP("HKD兑人民币(假设)",参数!A:A,参数!B:B,"")),IF(C5="MOP",B5*(XLOOKUP("MOP兑人民币(假设)",参数!A:A,参数!B:B,"")),""))))</f>
        <v/>
      </c>
      <c r="E5" s="7" t="n">
        <v>2024</v>
      </c>
      <c r="F5" s="7" t="inlineStr">
        <is>
          <t>地区生产总值</t>
        </is>
      </c>
      <c r="G5" s="7" t="inlineStr">
        <is>
          <t>https://tjj.sh.gov.cn/ydsj2/20250121/7b7f638a00b1472ab181c1571bfc3c3a.html</t>
        </is>
      </c>
      <c r="H5" s="7" t="inlineStr">
        <is>
          <t>2026-04-16 00:30:18</t>
        </is>
      </c>
    </row>
    <row r="6">
      <c r="A6" s="7" t="inlineStr">
        <is>
          <t>北京</t>
        </is>
      </c>
      <c r="B6" s="13" t="n">
        <v>49843.1</v>
      </c>
      <c r="C6" s="7" t="inlineStr">
        <is>
          <t>CNY</t>
        </is>
      </c>
      <c r="D6" s="13">
        <f>IF(B6="","",IF(C6="CNY",B6,IF(C6="HKD",B6*(XLOOKUP("HKD兑人民币(假设)",参数!A:A,参数!B:B,"")),IF(C6="MOP",B6*(XLOOKUP("MOP兑人民币(假设)",参数!A:A,参数!B:B,"")),""))))</f>
        <v/>
      </c>
      <c r="E6" s="7" t="n">
        <v>2024</v>
      </c>
      <c r="F6" s="7" t="inlineStr">
        <is>
          <t>地区生产总值（初步核算）</t>
        </is>
      </c>
      <c r="G6" s="7" t="inlineStr">
        <is>
          <t>https://tjj.beijing.gov.cn/tjsj_31433/tjgb_31445/ndgb_31446/202503/t20250319_4038820.html</t>
        </is>
      </c>
      <c r="H6" s="7" t="inlineStr">
        <is>
          <t>2026-04-16 00:30:18</t>
        </is>
      </c>
    </row>
    <row r="7">
      <c r="A7" s="7" t="inlineStr">
        <is>
          <t>杭州</t>
        </is>
      </c>
      <c r="B7" s="13" t="n">
        <v>21860</v>
      </c>
      <c r="C7" s="7" t="inlineStr">
        <is>
          <t>CNY</t>
        </is>
      </c>
      <c r="D7" s="13">
        <f>IF(B7="","",IF(C7="CNY",B7,IF(C7="HKD",B7*(XLOOKUP("HKD兑人民币(假设)",参数!A:A,参数!B:B,"")),IF(C7="MOP",B7*(XLOOKUP("MOP兑人民币(假设)",参数!A:A,参数!B:B,"")),""))))</f>
        <v/>
      </c>
      <c r="E7" s="7" t="n">
        <v>2024</v>
      </c>
      <c r="F7" s="7" t="inlineStr">
        <is>
          <t>地区生产总值（初步核算）</t>
        </is>
      </c>
      <c r="G7" s="7" t="inlineStr">
        <is>
          <t>https://www.hangzhou.gov.cn/art/2025/3/20/art_1229063404_4338664.html</t>
        </is>
      </c>
      <c r="H7" s="7" t="inlineStr">
        <is>
          <t>2026-04-16 00:30:18</t>
        </is>
      </c>
    </row>
    <row r="8">
      <c r="A8" s="7" t="inlineStr">
        <is>
          <t>南京</t>
        </is>
      </c>
      <c r="B8" s="13" t="n">
        <v>18500.81</v>
      </c>
      <c r="C8" s="7" t="inlineStr">
        <is>
          <t>CNY</t>
        </is>
      </c>
      <c r="D8" s="13">
        <f>IF(B8="","",IF(C8="CNY",B8,IF(C8="HKD",B8*(XLOOKUP("HKD兑人民币(假设)",参数!A:A,参数!B:B,"")),IF(C8="MOP",B8*(XLOOKUP("MOP兑人民币(假设)",参数!A:A,参数!B:B,"")),""))))</f>
        <v/>
      </c>
      <c r="E8" s="7" t="n">
        <v>2024</v>
      </c>
      <c r="F8" s="7" t="inlineStr">
        <is>
          <t>地区生产总值（初步核算）</t>
        </is>
      </c>
      <c r="G8" s="7" t="inlineStr">
        <is>
          <t>https://tjj.nanjing.gov.cn/bmfw/njsj/202504/t20250401_5108490.html</t>
        </is>
      </c>
      <c r="H8" s="7" t="inlineStr">
        <is>
          <t>2026-04-16 00:30:18</t>
        </is>
      </c>
    </row>
    <row r="9">
      <c r="A9" s="7" t="inlineStr">
        <is>
          <t>武汉</t>
        </is>
      </c>
      <c r="B9" s="13" t="n">
        <v>21106.23</v>
      </c>
      <c r="C9" s="7" t="inlineStr">
        <is>
          <t>CNY</t>
        </is>
      </c>
      <c r="D9" s="13">
        <f>IF(B9="","",IF(C9="CNY",B9,IF(C9="HKD",B9*(XLOOKUP("HKD兑人民币(假设)",参数!A:A,参数!B:B,"")),IF(C9="MOP",B9*(XLOOKUP("MOP兑人民币(假设)",参数!A:A,参数!B:B,"")),""))))</f>
        <v/>
      </c>
      <c r="E9" s="7" t="n">
        <v>2024</v>
      </c>
      <c r="F9" s="7" t="inlineStr">
        <is>
          <t>地区生产总值（初步核算）</t>
        </is>
      </c>
      <c r="G9" s="7" t="inlineStr">
        <is>
          <t>https://tjj.wuhan.gov.cn/tjfw/tjgb/202503/t20250327_2558447.shtml</t>
        </is>
      </c>
      <c r="H9" s="7" t="inlineStr">
        <is>
          <t>2026-04-16 00:30:18</t>
        </is>
      </c>
    </row>
    <row r="10">
      <c r="A10" s="7" t="inlineStr">
        <is>
          <t>成都</t>
        </is>
      </c>
      <c r="B10" s="13" t="n">
        <v>23511.3</v>
      </c>
      <c r="C10" s="7" t="inlineStr">
        <is>
          <t>CNY</t>
        </is>
      </c>
      <c r="D10" s="13">
        <f>IF(B10="","",IF(C10="CNY",B10,IF(C10="HKD",B10*(XLOOKUP("HKD兑人民币(假设)",参数!A:A,参数!B:B,"")),IF(C10="MOP",B10*(XLOOKUP("MOP兑人民币(假设)",参数!A:A,参数!B:B,"")),""))))</f>
        <v/>
      </c>
      <c r="E10" s="7" t="n">
        <v>2024</v>
      </c>
      <c r="F10" s="7" t="inlineStr">
        <is>
          <t>地区生产总值（统一核算初步结果；原公报页可能需浏览器访问）</t>
        </is>
      </c>
      <c r="G10" s="7" t="inlineStr">
        <is>
          <t>https://cdstats.chengdu.gov.cn/</t>
        </is>
      </c>
      <c r="H10" s="7" t="inlineStr">
        <is>
          <t>2026-04-16 00:30:18</t>
        </is>
      </c>
    </row>
    <row r="11">
      <c r="A11" s="7" t="inlineStr">
        <is>
          <t>长沙</t>
        </is>
      </c>
      <c r="B11" s="13" t="n">
        <v>15268.78</v>
      </c>
      <c r="C11" s="7" t="inlineStr">
        <is>
          <t>CNY</t>
        </is>
      </c>
      <c r="D11" s="13">
        <f>IF(B11="","",IF(C11="CNY",B11,IF(C11="HKD",B11*(XLOOKUP("HKD兑人民币(假设)",参数!A:A,参数!B:B,"")),IF(C11="MOP",B11*(XLOOKUP("MOP兑人民币(假设)",参数!A:A,参数!B:B,"")),""))))</f>
        <v/>
      </c>
      <c r="E11" s="7" t="n">
        <v>2024</v>
      </c>
      <c r="F11" s="7" t="inlineStr">
        <is>
          <t>地区生产总值（初步核算）</t>
        </is>
      </c>
      <c r="G11" s="7" t="inlineStr">
        <is>
          <t>http://tjj.hunan.gov.cn/tjfx/tjgb/szgb/szgb/zss_1/202505/t20250516_33673433.html</t>
        </is>
      </c>
      <c r="H11" s="7" t="inlineStr">
        <is>
          <t>2026-04-16 00:30:18</t>
        </is>
      </c>
    </row>
    <row r="12">
      <c r="A12" s="7" t="inlineStr">
        <is>
          <t>苏州</t>
        </is>
      </c>
      <c r="B12" s="13" t="n">
        <v>26727</v>
      </c>
      <c r="C12" s="7" t="inlineStr">
        <is>
          <t>CNY</t>
        </is>
      </c>
      <c r="D12" s="13">
        <f>IF(B12="","",IF(C12="CNY",B12,IF(C12="HKD",B12*(XLOOKUP("HKD兑人民币(假设)",参数!A:A,参数!B:B,"")),IF(C12="MOP",B12*(XLOOKUP("MOP兑人民币(假设)",参数!A:A,参数!B:B,"")),""))))</f>
        <v/>
      </c>
      <c r="E12" s="7" t="n">
        <v>2024</v>
      </c>
      <c r="F12" s="7" t="inlineStr">
        <is>
          <t>地区生产总值（初步核算）</t>
        </is>
      </c>
      <c r="G12" s="7" t="inlineStr">
        <is>
          <t>https://www.suzhou.gov.cn/szsrmzf/ndgmjjhshfztjsjfb/202506/c413b01f30224b7ba5ddbc1768cabe5c.shtml</t>
        </is>
      </c>
      <c r="H12" s="7" t="inlineStr">
        <is>
          <t>2026-04-16 00:30:18</t>
        </is>
      </c>
    </row>
    <row r="13">
      <c r="A13" s="7" t="inlineStr">
        <is>
          <t>天津</t>
        </is>
      </c>
      <c r="B13" s="13" t="n">
        <v>18024.32</v>
      </c>
      <c r="C13" s="7" t="inlineStr">
        <is>
          <t>CNY</t>
        </is>
      </c>
      <c r="D13" s="13">
        <f>IF(B13="","",IF(C13="CNY",B13,IF(C13="HKD",B13*(XLOOKUP("HKD兑人民币(假设)",参数!A:A,参数!B:B,"")),IF(C13="MOP",B13*(XLOOKUP("MOP兑人民币(假设)",参数!A:A,参数!B:B,"")),""))))</f>
        <v/>
      </c>
      <c r="E13" s="7" t="n">
        <v>2024</v>
      </c>
      <c r="F13" s="7" t="inlineStr">
        <is>
          <t>地区生产总值（统一核算）</t>
        </is>
      </c>
      <c r="G13" s="7" t="inlineStr">
        <is>
          <t>https://stats.tj.gov.cn/sy_51953/jjxx/202501/t20250117_6837795.html</t>
        </is>
      </c>
      <c r="H13" s="7" t="inlineStr">
        <is>
          <t>2026-04-16 00:30:18</t>
        </is>
      </c>
    </row>
    <row r="14">
      <c r="A14" s="7" t="inlineStr">
        <is>
          <t>厦门</t>
        </is>
      </c>
      <c r="B14" s="13" t="n">
        <v>8589.01</v>
      </c>
      <c r="C14" s="7" t="inlineStr">
        <is>
          <t>CNY</t>
        </is>
      </c>
      <c r="D14" s="13">
        <f>IF(B14="","",IF(C14="CNY",B14,IF(C14="HKD",B14*(XLOOKUP("HKD兑人民币(假设)",参数!A:A,参数!B:B,"")),IF(C14="MOP",B14*(XLOOKUP("MOP兑人民币(假设)",参数!A:A,参数!B:B,"")),""))))</f>
        <v/>
      </c>
      <c r="E14" s="7" t="n">
        <v>2024</v>
      </c>
      <c r="F14" s="7" t="inlineStr">
        <is>
          <t>地区生产总值（初步核算）</t>
        </is>
      </c>
      <c r="G14" s="7" t="inlineStr">
        <is>
          <t>https://www.investxiamen.org.cn/detail/10810.html</t>
        </is>
      </c>
      <c r="H14" s="7" t="inlineStr">
        <is>
          <t>2026-04-16 00:30:18</t>
        </is>
      </c>
    </row>
    <row r="15">
      <c r="A15" s="7" t="inlineStr">
        <is>
          <t>深圳</t>
        </is>
      </c>
      <c r="B15" s="13" t="n">
        <v>36801.87</v>
      </c>
      <c r="C15" s="7" t="inlineStr">
        <is>
          <t>CNY</t>
        </is>
      </c>
      <c r="D15" s="13">
        <f>IF(B15="","",IF(C15="CNY",B15,IF(C15="HKD",B15*(XLOOKUP("HKD兑人民币(假设)",参数!A:A,参数!B:B,"")),IF(C15="MOP",B15*(XLOOKUP("MOP兑人民币(假设)",参数!A:A,参数!B:B,"")),""))))</f>
        <v/>
      </c>
      <c r="E15" s="7" t="n">
        <v>2024</v>
      </c>
      <c r="F15" s="7" t="inlineStr">
        <is>
          <t>地区生产总值（广东省统一核算）</t>
        </is>
      </c>
      <c r="G15" s="7" t="inlineStr">
        <is>
          <t>https://tjj.sz.gov.cn/zwgk/zfxxgkml/tjsj/tjgb/content/post_12190509.html</t>
        </is>
      </c>
      <c r="H15" s="7" t="inlineStr">
        <is>
          <t>2026-04-16 00:30:18</t>
        </is>
      </c>
    </row>
    <row r="16">
      <c r="A16" s="7" t="inlineStr">
        <is>
          <t>重庆</t>
        </is>
      </c>
      <c r="B16" s="13" t="n">
        <v>32193.15</v>
      </c>
      <c r="C16" s="7" t="inlineStr">
        <is>
          <t>CNY</t>
        </is>
      </c>
      <c r="D16" s="13">
        <f>IF(B16="","",IF(C16="CNY",B16,IF(C16="HKD",B16*(XLOOKUP("HKD兑人民币(假设)",参数!A:A,参数!B:B,"")),IF(C16="MOP",B16*(XLOOKUP("MOP兑人民币(假设)",参数!A:A,参数!B:B,"")),""))))</f>
        <v/>
      </c>
      <c r="E16" s="7" t="n">
        <v>2024</v>
      </c>
      <c r="F16" s="7" t="inlineStr">
        <is>
          <t>地区生产总值（初步核算）</t>
        </is>
      </c>
      <c r="G16" s="7" t="inlineStr">
        <is>
          <t>https://www.cq.gov.cn/zwgk/zfxxgkzl/fdzdgknr/tjxx/tjgb/202503/t20250326_14569744.html</t>
        </is>
      </c>
      <c r="H16" s="7" t="inlineStr">
        <is>
          <t>2026-04-16 00:30:18</t>
        </is>
      </c>
    </row>
    <row r="17">
      <c r="A17" s="7" t="inlineStr">
        <is>
          <t>宁波</t>
        </is>
      </c>
      <c r="B17" s="13" t="n">
        <v>18147.7</v>
      </c>
      <c r="C17" s="7" t="inlineStr">
        <is>
          <t>CNY</t>
        </is>
      </c>
      <c r="D17" s="13">
        <f>IF(B17="","",IF(C17="CNY",B17,IF(C17="HKD",B17*(XLOOKUP("HKD兑人民币(假设)",参数!A:A,参数!B:B,"")),IF(C17="MOP",B17*(XLOOKUP("MOP兑人民币(假设)",参数!A:A,参数!B:B,"")),""))))</f>
        <v/>
      </c>
      <c r="E17" s="7" t="n">
        <v>2024</v>
      </c>
      <c r="F17" s="7" t="inlineStr">
        <is>
          <t>地区生产总值（统一核算）</t>
        </is>
      </c>
      <c r="G17" s="7" t="inlineStr">
        <is>
          <t>https://zjzd.stats.gov.cn/nb/tcfb/202503/t20250321_112582.shtml</t>
        </is>
      </c>
      <c r="H17" s="7" t="inlineStr">
        <is>
          <t>2026-04-16 00:30:18</t>
        </is>
      </c>
    </row>
    <row r="18">
      <c r="A18" s="7" t="inlineStr">
        <is>
          <t>西安</t>
        </is>
      </c>
      <c r="B18" s="13" t="n">
        <v>13317.78</v>
      </c>
      <c r="C18" s="7" t="inlineStr">
        <is>
          <t>CNY</t>
        </is>
      </c>
      <c r="D18" s="13">
        <f>IF(B18="","",IF(C18="CNY",B18,IF(C18="HKD",B18*(XLOOKUP("HKD兑人民币(假设)",参数!A:A,参数!B:B,"")),IF(C18="MOP",B18*(XLOOKUP("MOP兑人民币(假设)",参数!A:A,参数!B:B,"")),""))))</f>
        <v/>
      </c>
      <c r="E18" s="7" t="n">
        <v>2024</v>
      </c>
      <c r="F18" s="7" t="inlineStr">
        <is>
          <t>地区生产总值（初步核算；PDF）</t>
        </is>
      </c>
      <c r="G18" s="7" t="inlineStr">
        <is>
          <t>https://tjj.xa.gov.cn/web_files/tjj/file/2025/04/15/202504150918368381892.pdf</t>
        </is>
      </c>
      <c r="H18" s="7" t="inlineStr">
        <is>
          <t>2026-04-16 00:30:18</t>
        </is>
      </c>
    </row>
    <row r="19">
      <c r="A19" s="7" t="inlineStr">
        <is>
          <t>广州</t>
        </is>
      </c>
      <c r="B19" s="13" t="n">
        <v>31032.5</v>
      </c>
      <c r="C19" s="7" t="inlineStr">
        <is>
          <t>CNY</t>
        </is>
      </c>
      <c r="D19" s="13">
        <f>IF(B19="","",IF(C19="CNY",B19,IF(C19="HKD",B19*(XLOOKUP("HKD兑人民币(假设)",参数!A:A,参数!B:B,"")),IF(C19="MOP",B19*(XLOOKUP("MOP兑人民币(假设)",参数!A:A,参数!B:B,"")),""))))</f>
        <v/>
      </c>
      <c r="E19" s="7" t="n">
        <v>2024</v>
      </c>
      <c r="F19" s="7" t="inlineStr">
        <is>
          <t>地区生产总值（广东省统一核算）</t>
        </is>
      </c>
      <c r="G19" s="7" t="inlineStr">
        <is>
          <t>https://tjj.gz.gov.cn/stats_newtjyw/sjjd/content/post_10096827.html</t>
        </is>
      </c>
      <c r="H19" s="7" t="inlineStr">
        <is>
          <t>2026-04-16 00:30:18</t>
        </is>
      </c>
    </row>
    <row r="20">
      <c r="A20" s="7" t="inlineStr">
        <is>
          <t>济南</t>
        </is>
      </c>
      <c r="B20" s="13" t="n">
        <v>13527.6</v>
      </c>
      <c r="C20" s="7" t="inlineStr">
        <is>
          <t>CNY</t>
        </is>
      </c>
      <c r="D20" s="13">
        <f>IF(B20="","",IF(C20="CNY",B20,IF(C20="HKD",B20*(XLOOKUP("HKD兑人民币(假设)",参数!A:A,参数!B:B,"")),IF(C20="MOP",B20*(XLOOKUP("MOP兑人民币(假设)",参数!A:A,参数!B:B,"")),""))))</f>
        <v/>
      </c>
      <c r="E20" s="7" t="n">
        <v>2024</v>
      </c>
      <c r="F20" s="7" t="inlineStr">
        <is>
          <t>地区生产总值</t>
        </is>
      </c>
      <c r="G20" s="7" t="inlineStr">
        <is>
          <t>http://jntj.jinan.gov.cn/col18254/art/2025/art_18254_4754709.html</t>
        </is>
      </c>
      <c r="H20" s="7" t="inlineStr">
        <is>
          <t>2026-04-16 00:30:18</t>
        </is>
      </c>
    </row>
    <row r="21">
      <c r="A21" s="7" t="inlineStr">
        <is>
          <t>郑州</t>
        </is>
      </c>
      <c r="B21" s="13" t="n">
        <v>14532.1</v>
      </c>
      <c r="C21" s="7" t="inlineStr">
        <is>
          <t>CNY</t>
        </is>
      </c>
      <c r="D21" s="13">
        <f>IF(B21="","",IF(C21="CNY",B21,IF(C21="HKD",B21*(XLOOKUP("HKD兑人民币(假设)",参数!A:A,参数!B:B,"")),IF(C21="MOP",B21*(XLOOKUP("MOP兑人民币(假设)",参数!A:A,参数!B:B,"")),""))))</f>
        <v/>
      </c>
      <c r="E21" s="7" t="n">
        <v>2024</v>
      </c>
      <c r="F21" s="7" t="inlineStr">
        <is>
          <t>地区生产总值（初步核算）</t>
        </is>
      </c>
      <c r="G21" s="7" t="inlineStr">
        <is>
          <t>https://tjj.zhengzhou.gov.cn/tjgb/9230847.jhtml</t>
        </is>
      </c>
      <c r="H21" s="7" t="inlineStr">
        <is>
          <t>2026-04-16 00:30:18</t>
        </is>
      </c>
    </row>
    <row r="22">
      <c r="A22" s="7" t="inlineStr">
        <is>
          <t>青岛</t>
        </is>
      </c>
      <c r="B22" s="13" t="n">
        <v>16719.46</v>
      </c>
      <c r="C22" s="7" t="inlineStr">
        <is>
          <t>CNY</t>
        </is>
      </c>
      <c r="D22" s="13">
        <f>IF(B22="","",IF(C22="CNY",B22,IF(C22="HKD",B22*(XLOOKUP("HKD兑人民币(假设)",参数!A:A,参数!B:B,"")),IF(C22="MOP",B22*(XLOOKUP("MOP兑人民币(假设)",参数!A:A,参数!B:B,"")),""))))</f>
        <v/>
      </c>
      <c r="E22" s="7" t="n">
        <v>2024</v>
      </c>
      <c r="F22" s="7" t="inlineStr">
        <is>
          <t>全市生产总值（统一核算）</t>
        </is>
      </c>
      <c r="G22" s="7" t="inlineStr">
        <is>
          <t>http://www.qingdao.gov.cn/zwgk/xxgk/tjj/gkml/tjjd/202503/t20250307_9067666.shtml</t>
        </is>
      </c>
      <c r="H22" s="7" t="inlineStr">
        <is>
          <t>2026-04-16 00:30:18</t>
        </is>
      </c>
    </row>
    <row r="23">
      <c r="A23" s="7" t="inlineStr">
        <is>
          <t>福州</t>
        </is>
      </c>
      <c r="B23" s="13" t="n">
        <v>14236.76</v>
      </c>
      <c r="C23" s="7" t="inlineStr">
        <is>
          <t>CNY</t>
        </is>
      </c>
      <c r="D23" s="13">
        <f>IF(B23="","",IF(C23="CNY",B23,IF(C23="HKD",B23*(XLOOKUP("HKD兑人民币(假设)",参数!A:A,参数!B:B,"")),IF(C23="MOP",B23*(XLOOKUP("MOP兑人民币(假设)",参数!A:A,参数!B:B,"")),""))))</f>
        <v/>
      </c>
      <c r="E23" s="7" t="n">
        <v>2024</v>
      </c>
      <c r="F23" s="7" t="inlineStr">
        <is>
          <t>地区生产总值（统一核算）</t>
        </is>
      </c>
      <c r="G23" s="7" t="inlineStr">
        <is>
          <t>https://tjj.fuzhou.gov.cn/zwgk/tjzl/ndbg/202504/t20250403_4999354.htm</t>
        </is>
      </c>
      <c r="H23" s="7" t="inlineStr">
        <is>
          <t>2026-04-16 00:30:18</t>
        </is>
      </c>
    </row>
    <row r="24">
      <c r="A24" s="7" t="inlineStr">
        <is>
          <t>合肥</t>
        </is>
      </c>
      <c r="B24" s="13" t="n">
        <v>13507.69</v>
      </c>
      <c r="C24" s="7" t="inlineStr">
        <is>
          <t>CNY</t>
        </is>
      </c>
      <c r="D24" s="13">
        <f>IF(B24="","",IF(C24="CNY",B24,IF(C24="HKD",B24*(XLOOKUP("HKD兑人民币(假设)",参数!A:A,参数!B:B,"")),IF(C24="MOP",B24*(XLOOKUP("MOP兑人民币(假设)",参数!A:A,参数!B:B,"")),""))))</f>
        <v/>
      </c>
      <c r="E24" s="7" t="n">
        <v>2024</v>
      </c>
      <c r="F24" s="7" t="inlineStr">
        <is>
          <t>地区生产总值（初步核算；原公报页可能需浏览器访问）</t>
        </is>
      </c>
      <c r="G24" s="7" t="inlineStr">
        <is>
          <t>https://tjj.hefei.gov.cn/</t>
        </is>
      </c>
      <c r="H24" s="7" t="inlineStr">
        <is>
          <t>2026-04-16 00:30:18</t>
        </is>
      </c>
    </row>
    <row r="25">
      <c r="A25" s="7" t="inlineStr">
        <is>
          <t>沈阳</t>
        </is>
      </c>
      <c r="B25" s="13" t="n">
        <v>9027.1</v>
      </c>
      <c r="C25" s="7" t="inlineStr">
        <is>
          <t>CNY</t>
        </is>
      </c>
      <c r="D25" s="13">
        <f>IF(B25="","",IF(C25="CNY",B25,IF(C25="HKD",B25*(XLOOKUP("HKD兑人民币(假设)",参数!A:A,参数!B:B,"")),IF(C25="MOP",B25*(XLOOKUP("MOP兑人民币(假设)",参数!A:A,参数!B:B,"")),""))))</f>
        <v/>
      </c>
      <c r="E25" s="7" t="n">
        <v>2024</v>
      </c>
      <c r="F25" s="7" t="inlineStr">
        <is>
          <t>地区生产总值（初步核算）</t>
        </is>
      </c>
      <c r="G25" s="7" t="inlineStr">
        <is>
          <t>https://www.shenyang.gov.cn/zwgk/fdzdgknr/tjxx/tjgb/202504/t20250423_4841162.html</t>
        </is>
      </c>
      <c r="H25" s="7" t="inlineStr">
        <is>
          <t>2026-04-16 00:30:18</t>
        </is>
      </c>
    </row>
    <row r="26">
      <c r="A26" s="7" t="inlineStr">
        <is>
          <t>大连</t>
        </is>
      </c>
      <c r="B26" s="13" t="n">
        <v>9516.9</v>
      </c>
      <c r="C26" s="7" t="inlineStr">
        <is>
          <t>CNY</t>
        </is>
      </c>
      <c r="D26" s="13">
        <f>IF(B26="","",IF(C26="CNY",B26,IF(C26="HKD",B26*(XLOOKUP("HKD兑人民币(假设)",参数!A:A,参数!B:B,"")),IF(C26="MOP",B26*(XLOOKUP("MOP兑人民币(假设)",参数!A:A,参数!B:B,"")),""))))</f>
        <v/>
      </c>
      <c r="E26" s="7" t="n">
        <v>2024</v>
      </c>
      <c r="F26" s="7" t="inlineStr">
        <is>
          <t>地区生产总值（新闻发布会；省政府转载）</t>
        </is>
      </c>
      <c r="G26" s="7" t="inlineStr">
        <is>
          <t>https://www.ln.gov.cn/web/ywdt/qsgd/ass_2_1/2025012109052991289/index.shtml</t>
        </is>
      </c>
      <c r="H26" s="7" t="inlineStr">
        <is>
          <t>2026-04-16 00:30:18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2" customWidth="1" min="4" max="4"/>
    <col width="11" customWidth="1" min="5" max="5"/>
    <col width="11" customWidth="1" min="6" max="6"/>
    <col width="18" customWidth="1" min="7" max="7"/>
    <col width="12" customWidth="1" min="8" max="8"/>
    <col width="8" customWidth="1" min="9" max="9"/>
    <col width="12" customWidth="1" min="10" max="10"/>
    <col width="12" customWidth="1" min="11" max="11"/>
    <col width="35" customWidth="1" min="12" max="12"/>
    <col width="22" customWidth="1" min="13" max="13"/>
    <col width="26" customWidth="1" min="14" max="14"/>
    <col width="26" customWidth="1" min="15" max="15"/>
    <col width="18" customWidth="1" min="16" max="16"/>
    <col width="35" customWidth="1" min="17" max="17"/>
  </cols>
  <sheetData>
    <row r="1">
      <c r="A1" s="1" t="inlineStr">
        <is>
          <t>序号</t>
        </is>
      </c>
      <c r="B1" s="1" t="inlineStr">
        <is>
          <t>城市</t>
        </is>
      </c>
      <c r="C1" s="1" t="inlineStr">
        <is>
          <t>男性人均月消费(元)</t>
        </is>
      </c>
      <c r="D1" s="1" t="inlineStr">
        <is>
          <t>女性人均月消费(元)</t>
        </is>
      </c>
      <c r="E1" s="1" t="inlineStr">
        <is>
          <t>男性占比</t>
        </is>
      </c>
      <c r="F1" s="1" t="inlineStr">
        <is>
          <t>女性占比</t>
        </is>
      </c>
      <c r="G1" s="1" t="inlineStr">
        <is>
          <t>加权人均月消费(元)</t>
        </is>
      </c>
      <c r="H1" s="1" t="inlineStr">
        <is>
          <t>加权人均年消费(元)</t>
        </is>
      </c>
      <c r="I1" s="1" t="inlineStr">
        <is>
          <t>换算系数α</t>
        </is>
      </c>
      <c r="J1" s="1" t="inlineStr">
        <is>
          <t>估算人均GDP(元)</t>
        </is>
      </c>
      <c r="K1" s="1" t="inlineStr">
        <is>
          <t>总人口(万人，可选)</t>
        </is>
      </c>
      <c r="L1" s="1" t="inlineStr">
        <is>
          <t>估算GDP总量(亿元，可选)</t>
        </is>
      </c>
      <c r="M1" s="1" t="inlineStr">
        <is>
          <t>实际GDP总量(亿元,折人民币)</t>
        </is>
      </c>
      <c r="N1" s="1" t="inlineStr">
        <is>
          <t>差额(估算-实际,亿元)</t>
        </is>
      </c>
      <c r="O1" s="1" t="inlineStr">
        <is>
          <t>估算/实际</t>
        </is>
      </c>
      <c r="P1" s="1" t="inlineStr">
        <is>
          <t>实际人均GDP(元)</t>
        </is>
      </c>
      <c r="Q1" s="1" t="inlineStr">
        <is>
          <t>人均差异率(估算-实际)/实际</t>
        </is>
      </c>
    </row>
    <row r="2">
      <c r="A2" s="10" t="n">
        <v>1</v>
      </c>
      <c r="B2" s="7" t="inlineStr">
        <is>
          <t>香港</t>
        </is>
      </c>
      <c r="C2" s="11">
        <f>数据表!C2</f>
        <v/>
      </c>
      <c r="D2" s="11">
        <f>数据表!D2</f>
        <v/>
      </c>
      <c r="E2" s="9">
        <f>人口假设!C2</f>
        <v/>
      </c>
      <c r="F2" s="9">
        <f>人口假设!D2</f>
        <v/>
      </c>
      <c r="G2" s="11">
        <f>C2*E2+D2*F2</f>
        <v/>
      </c>
      <c r="H2" s="11">
        <f>G2*12</f>
        <v/>
      </c>
      <c r="I2" s="12">
        <f>参数!B4</f>
        <v/>
      </c>
      <c r="J2" s="11">
        <f>H2/I2</f>
        <v/>
      </c>
      <c r="K2" s="8">
        <f>人口假设!B2</f>
        <v/>
      </c>
      <c r="L2" s="13">
        <f>IF(K2="","",J2*K2*10000/100000000)</f>
        <v/>
      </c>
      <c r="M2" s="13">
        <f>IF(实际GDP来源!D2="","",实际GDP来源!D2)</f>
        <v/>
      </c>
      <c r="N2" s="13">
        <f>IF(132="","",L2-132)</f>
        <v/>
      </c>
      <c r="O2" s="14">
        <f>IF(132="","",L2/132)</f>
        <v/>
      </c>
      <c r="P2" s="11">
        <f>IF(OR(132="",K2=""),"",132/K2*10000)</f>
        <v/>
      </c>
      <c r="Q2" s="9">
        <f>IF(OR(132="",K2=""),"",(J2-162)/162)</f>
        <v/>
      </c>
    </row>
    <row r="3">
      <c r="A3" s="10" t="n">
        <v>2</v>
      </c>
      <c r="B3" s="7" t="inlineStr">
        <is>
          <t>澳门</t>
        </is>
      </c>
      <c r="C3" s="11">
        <f>数据表!C3</f>
        <v/>
      </c>
      <c r="D3" s="11">
        <f>数据表!D3</f>
        <v/>
      </c>
      <c r="E3" s="9">
        <f>人口假设!C3</f>
        <v/>
      </c>
      <c r="F3" s="9">
        <f>人口假设!D3</f>
        <v/>
      </c>
      <c r="G3" s="11">
        <f>C3*E3+D3*F3</f>
        <v/>
      </c>
      <c r="H3" s="11">
        <f>G3*12</f>
        <v/>
      </c>
      <c r="I3" s="12">
        <f>参数!B4</f>
        <v/>
      </c>
      <c r="J3" s="11">
        <f>H3/I3</f>
        <v/>
      </c>
      <c r="K3" s="8">
        <f>人口假设!B3</f>
        <v/>
      </c>
      <c r="L3" s="13">
        <f>IF(K3="","",J3*K3*10000/100000000)</f>
        <v/>
      </c>
      <c r="M3" s="13">
        <f>IF(实际GDP来源!D3="","",实际GDP来源!D3)</f>
        <v/>
      </c>
      <c r="N3" s="13">
        <f>IF(133="","",L3-133)</f>
        <v/>
      </c>
      <c r="O3" s="14">
        <f>IF(133="","",L3/133)</f>
        <v/>
      </c>
      <c r="P3" s="11">
        <f>IF(OR(133="",K3=""),"",133/K3*10000)</f>
        <v/>
      </c>
      <c r="Q3" s="9">
        <f>IF(OR(133="",K3=""),"",(J3-163)/163)</f>
        <v/>
      </c>
    </row>
    <row r="4">
      <c r="A4" s="10" t="n">
        <v>3</v>
      </c>
      <c r="B4" s="7" t="inlineStr">
        <is>
          <t>台北</t>
        </is>
      </c>
      <c r="C4" s="11">
        <f>数据表!C4</f>
        <v/>
      </c>
      <c r="D4" s="11">
        <f>数据表!D4</f>
        <v/>
      </c>
      <c r="E4" s="9">
        <f>人口假设!C4</f>
        <v/>
      </c>
      <c r="F4" s="9">
        <f>人口假设!D4</f>
        <v/>
      </c>
      <c r="G4" s="11">
        <f>C4*E4+D4*F4</f>
        <v/>
      </c>
      <c r="H4" s="11">
        <f>G4*12</f>
        <v/>
      </c>
      <c r="I4" s="12">
        <f>参数!B4</f>
        <v/>
      </c>
      <c r="J4" s="11">
        <f>H4/I4</f>
        <v/>
      </c>
      <c r="K4" s="8">
        <f>人口假设!B4</f>
        <v/>
      </c>
      <c r="L4" s="13">
        <f>IF(K4="","",J4*K4*10000/100000000)</f>
        <v/>
      </c>
      <c r="M4" s="13">
        <f>IF(实际GDP来源!D4="","",实际GDP来源!D4)</f>
        <v/>
      </c>
      <c r="N4" s="13">
        <f>IF(134="","",L4-134)</f>
        <v/>
      </c>
      <c r="O4" s="14">
        <f>IF(134="","",L4/134)</f>
        <v/>
      </c>
      <c r="P4" s="11">
        <f>IF(OR(134="",K4=""),"",134/K4*10000)</f>
        <v/>
      </c>
      <c r="Q4" s="9">
        <f>IF(OR(134="",K4=""),"",(J4-164)/164)</f>
        <v/>
      </c>
    </row>
    <row r="5">
      <c r="A5" s="10" t="n">
        <v>4</v>
      </c>
      <c r="B5" s="7" t="inlineStr">
        <is>
          <t>上海</t>
        </is>
      </c>
      <c r="C5" s="11">
        <f>数据表!C5</f>
        <v/>
      </c>
      <c r="D5" s="11">
        <f>数据表!D5</f>
        <v/>
      </c>
      <c r="E5" s="9">
        <f>人口假设!C5</f>
        <v/>
      </c>
      <c r="F5" s="9">
        <f>人口假设!D5</f>
        <v/>
      </c>
      <c r="G5" s="11">
        <f>C5*E5+D5*F5</f>
        <v/>
      </c>
      <c r="H5" s="11">
        <f>G5*12</f>
        <v/>
      </c>
      <c r="I5" s="12">
        <f>参数!B4</f>
        <v/>
      </c>
      <c r="J5" s="11">
        <f>H5/I5</f>
        <v/>
      </c>
      <c r="K5" s="8">
        <f>人口假设!B5</f>
        <v/>
      </c>
      <c r="L5" s="13">
        <f>IF(K5="","",J5*K5*10000/100000000)</f>
        <v/>
      </c>
      <c r="M5" s="13">
        <f>IF(实际GDP来源!D5="","",实际GDP来源!D5)</f>
        <v/>
      </c>
      <c r="N5" s="13">
        <f>IF(135="","",L5-135)</f>
        <v/>
      </c>
      <c r="O5" s="14">
        <f>IF(135="","",L5/135)</f>
        <v/>
      </c>
      <c r="P5" s="11">
        <f>IF(OR(135="",K5=""),"",135/K5*10000)</f>
        <v/>
      </c>
      <c r="Q5" s="9">
        <f>IF(OR(135="",K5=""),"",(J5-165)/165)</f>
        <v/>
      </c>
    </row>
    <row r="6">
      <c r="A6" s="10" t="n">
        <v>5</v>
      </c>
      <c r="B6" s="7" t="inlineStr">
        <is>
          <t>北京</t>
        </is>
      </c>
      <c r="C6" s="11">
        <f>数据表!C6</f>
        <v/>
      </c>
      <c r="D6" s="11">
        <f>数据表!D6</f>
        <v/>
      </c>
      <c r="E6" s="9">
        <f>人口假设!C6</f>
        <v/>
      </c>
      <c r="F6" s="9">
        <f>人口假设!D6</f>
        <v/>
      </c>
      <c r="G6" s="11">
        <f>C6*E6+D6*F6</f>
        <v/>
      </c>
      <c r="H6" s="11">
        <f>G6*12</f>
        <v/>
      </c>
      <c r="I6" s="12">
        <f>参数!B4</f>
        <v/>
      </c>
      <c r="J6" s="11">
        <f>H6/I6</f>
        <v/>
      </c>
      <c r="K6" s="8">
        <f>人口假设!B6</f>
        <v/>
      </c>
      <c r="L6" s="13">
        <f>IF(K6="","",J6*K6*10000/100000000)</f>
        <v/>
      </c>
      <c r="M6" s="13">
        <f>IF(实际GDP来源!D6="","",实际GDP来源!D6)</f>
        <v/>
      </c>
      <c r="N6" s="13">
        <f>IF(136="","",L6-136)</f>
        <v/>
      </c>
      <c r="O6" s="14">
        <f>IF(136="","",L6/136)</f>
        <v/>
      </c>
      <c r="P6" s="11">
        <f>IF(OR(136="",K6=""),"",136/K6*10000)</f>
        <v/>
      </c>
      <c r="Q6" s="9">
        <f>IF(OR(136="",K6=""),"",(J6-166)/166)</f>
        <v/>
      </c>
    </row>
    <row r="7">
      <c r="A7" s="10" t="n">
        <v>6</v>
      </c>
      <c r="B7" s="7" t="inlineStr">
        <is>
          <t>杭州</t>
        </is>
      </c>
      <c r="C7" s="11">
        <f>数据表!C7</f>
        <v/>
      </c>
      <c r="D7" s="11">
        <f>数据表!D7</f>
        <v/>
      </c>
      <c r="E7" s="9">
        <f>人口假设!C7</f>
        <v/>
      </c>
      <c r="F7" s="9">
        <f>人口假设!D7</f>
        <v/>
      </c>
      <c r="G7" s="11">
        <f>C7*E7+D7*F7</f>
        <v/>
      </c>
      <c r="H7" s="11">
        <f>G7*12</f>
        <v/>
      </c>
      <c r="I7" s="12">
        <f>参数!B4</f>
        <v/>
      </c>
      <c r="J7" s="11">
        <f>H7/I7</f>
        <v/>
      </c>
      <c r="K7" s="8">
        <f>人口假设!B7</f>
        <v/>
      </c>
      <c r="L7" s="13">
        <f>IF(K7="","",J7*K7*10000/100000000)</f>
        <v/>
      </c>
      <c r="M7" s="13">
        <f>IF(实际GDP来源!D7="","",实际GDP来源!D7)</f>
        <v/>
      </c>
      <c r="N7" s="13">
        <f>IF(137="","",L7-137)</f>
        <v/>
      </c>
      <c r="O7" s="14">
        <f>IF(137="","",L7/137)</f>
        <v/>
      </c>
      <c r="P7" s="11">
        <f>IF(OR(137="",K7=""),"",137/K7*10000)</f>
        <v/>
      </c>
      <c r="Q7" s="9">
        <f>IF(OR(137="",K7=""),"",(J7-167)/167)</f>
        <v/>
      </c>
    </row>
    <row r="8">
      <c r="A8" s="10" t="n">
        <v>7</v>
      </c>
      <c r="B8" s="7" t="inlineStr">
        <is>
          <t>南京</t>
        </is>
      </c>
      <c r="C8" s="11">
        <f>数据表!C8</f>
        <v/>
      </c>
      <c r="D8" s="11">
        <f>数据表!D8</f>
        <v/>
      </c>
      <c r="E8" s="9">
        <f>人口假设!C8</f>
        <v/>
      </c>
      <c r="F8" s="9">
        <f>人口假设!D8</f>
        <v/>
      </c>
      <c r="G8" s="11">
        <f>C8*E8+D8*F8</f>
        <v/>
      </c>
      <c r="H8" s="11">
        <f>G8*12</f>
        <v/>
      </c>
      <c r="I8" s="12">
        <f>参数!B4</f>
        <v/>
      </c>
      <c r="J8" s="11">
        <f>H8/I8</f>
        <v/>
      </c>
      <c r="K8" s="8">
        <f>人口假设!B8</f>
        <v/>
      </c>
      <c r="L8" s="13">
        <f>IF(K8="","",J8*K8*10000/100000000)</f>
        <v/>
      </c>
      <c r="M8" s="13">
        <f>IF(实际GDP来源!D8="","",实际GDP来源!D8)</f>
        <v/>
      </c>
      <c r="N8" s="13">
        <f>IF(138="","",L8-138)</f>
        <v/>
      </c>
      <c r="O8" s="14">
        <f>IF(138="","",L8/138)</f>
        <v/>
      </c>
      <c r="P8" s="11">
        <f>IF(OR(138="",K8=""),"",138/K8*10000)</f>
        <v/>
      </c>
      <c r="Q8" s="9">
        <f>IF(OR(138="",K8=""),"",(J8-168)/168)</f>
        <v/>
      </c>
    </row>
    <row r="9">
      <c r="A9" s="10" t="n">
        <v>8</v>
      </c>
      <c r="B9" s="7" t="inlineStr">
        <is>
          <t>武汉</t>
        </is>
      </c>
      <c r="C9" s="11">
        <f>数据表!C9</f>
        <v/>
      </c>
      <c r="D9" s="11">
        <f>数据表!D9</f>
        <v/>
      </c>
      <c r="E9" s="9">
        <f>人口假设!C9</f>
        <v/>
      </c>
      <c r="F9" s="9">
        <f>人口假设!D9</f>
        <v/>
      </c>
      <c r="G9" s="11">
        <f>C9*E9+D9*F9</f>
        <v/>
      </c>
      <c r="H9" s="11">
        <f>G9*12</f>
        <v/>
      </c>
      <c r="I9" s="12">
        <f>参数!B4</f>
        <v/>
      </c>
      <c r="J9" s="11">
        <f>H9/I9</f>
        <v/>
      </c>
      <c r="K9" s="8">
        <f>人口假设!B9</f>
        <v/>
      </c>
      <c r="L9" s="13">
        <f>IF(K9="","",J9*K9*10000/100000000)</f>
        <v/>
      </c>
      <c r="M9" s="13">
        <f>IF(实际GDP来源!D9="","",实际GDP来源!D9)</f>
        <v/>
      </c>
      <c r="N9" s="13">
        <f>IF(139="","",L9-139)</f>
        <v/>
      </c>
      <c r="O9" s="14">
        <f>IF(139="","",L9/139)</f>
        <v/>
      </c>
      <c r="P9" s="11">
        <f>IF(OR(139="",K9=""),"",139/K9*10000)</f>
        <v/>
      </c>
      <c r="Q9" s="9">
        <f>IF(OR(139="",K9=""),"",(J9-169)/169)</f>
        <v/>
      </c>
    </row>
    <row r="10">
      <c r="A10" s="10" t="n">
        <v>9</v>
      </c>
      <c r="B10" s="7" t="inlineStr">
        <is>
          <t>成都</t>
        </is>
      </c>
      <c r="C10" s="11">
        <f>数据表!C10</f>
        <v/>
      </c>
      <c r="D10" s="11">
        <f>数据表!D10</f>
        <v/>
      </c>
      <c r="E10" s="9">
        <f>人口假设!C10</f>
        <v/>
      </c>
      <c r="F10" s="9">
        <f>人口假设!D10</f>
        <v/>
      </c>
      <c r="G10" s="11">
        <f>C10*E10+D10*F10</f>
        <v/>
      </c>
      <c r="H10" s="11">
        <f>G10*12</f>
        <v/>
      </c>
      <c r="I10" s="12">
        <f>参数!B4</f>
        <v/>
      </c>
      <c r="J10" s="11">
        <f>H10/I10</f>
        <v/>
      </c>
      <c r="K10" s="8">
        <f>人口假设!B10</f>
        <v/>
      </c>
      <c r="L10" s="13">
        <f>IF(K10="","",J10*K10*10000/100000000)</f>
        <v/>
      </c>
      <c r="M10" s="13">
        <f>IF(实际GDP来源!D10="","",实际GDP来源!D10)</f>
        <v/>
      </c>
      <c r="N10" s="13">
        <f>IF(1310="","",L10-1310)</f>
        <v/>
      </c>
      <c r="O10" s="14">
        <f>IF(1310="","",L10/1310)</f>
        <v/>
      </c>
      <c r="P10" s="11">
        <f>IF(OR(1310="",K10=""),"",1310/K10*10000)</f>
        <v/>
      </c>
      <c r="Q10" s="9">
        <f>IF(OR(1310="",K10=""),"",(J10-1610)/1610)</f>
        <v/>
      </c>
    </row>
    <row r="11">
      <c r="A11" s="10" t="n">
        <v>10</v>
      </c>
      <c r="B11" s="7" t="inlineStr">
        <is>
          <t>长沙</t>
        </is>
      </c>
      <c r="C11" s="11">
        <f>数据表!C11</f>
        <v/>
      </c>
      <c r="D11" s="11">
        <f>数据表!D11</f>
        <v/>
      </c>
      <c r="E11" s="9">
        <f>人口假设!C11</f>
        <v/>
      </c>
      <c r="F11" s="9">
        <f>人口假设!D11</f>
        <v/>
      </c>
      <c r="G11" s="11">
        <f>C11*E11+D11*F11</f>
        <v/>
      </c>
      <c r="H11" s="11">
        <f>G11*12</f>
        <v/>
      </c>
      <c r="I11" s="12">
        <f>参数!B4</f>
        <v/>
      </c>
      <c r="J11" s="11">
        <f>H11/I11</f>
        <v/>
      </c>
      <c r="K11" s="8">
        <f>人口假设!B11</f>
        <v/>
      </c>
      <c r="L11" s="13">
        <f>IF(K11="","",J11*K11*10000/100000000)</f>
        <v/>
      </c>
      <c r="M11" s="13">
        <f>IF(实际GDP来源!D11="","",实际GDP来源!D11)</f>
        <v/>
      </c>
      <c r="N11" s="13">
        <f>IF(1311="","",L11-1311)</f>
        <v/>
      </c>
      <c r="O11" s="14">
        <f>IF(1311="","",L11/1311)</f>
        <v/>
      </c>
      <c r="P11" s="11">
        <f>IF(OR(1311="",K11=""),"",1311/K11*10000)</f>
        <v/>
      </c>
      <c r="Q11" s="9">
        <f>IF(OR(1311="",K11=""),"",(J11-1611)/1611)</f>
        <v/>
      </c>
    </row>
    <row r="12">
      <c r="A12" s="10" t="n">
        <v>11</v>
      </c>
      <c r="B12" s="7" t="inlineStr">
        <is>
          <t>苏州</t>
        </is>
      </c>
      <c r="C12" s="11">
        <f>数据表!C12</f>
        <v/>
      </c>
      <c r="D12" s="11">
        <f>数据表!D12</f>
        <v/>
      </c>
      <c r="E12" s="9">
        <f>人口假设!C12</f>
        <v/>
      </c>
      <c r="F12" s="9">
        <f>人口假设!D12</f>
        <v/>
      </c>
      <c r="G12" s="11">
        <f>C12*E12+D12*F12</f>
        <v/>
      </c>
      <c r="H12" s="11">
        <f>G12*12</f>
        <v/>
      </c>
      <c r="I12" s="12">
        <f>参数!B4</f>
        <v/>
      </c>
      <c r="J12" s="11">
        <f>H12/I12</f>
        <v/>
      </c>
      <c r="K12" s="8">
        <f>人口假设!B12</f>
        <v/>
      </c>
      <c r="L12" s="13">
        <f>IF(K12="","",J12*K12*10000/100000000)</f>
        <v/>
      </c>
      <c r="M12" s="13">
        <f>IF(实际GDP来源!D12="","",实际GDP来源!D12)</f>
        <v/>
      </c>
      <c r="N12" s="13">
        <f>IF(1312="","",L12-1312)</f>
        <v/>
      </c>
      <c r="O12" s="14">
        <f>IF(1312="","",L12/1312)</f>
        <v/>
      </c>
      <c r="P12" s="11">
        <f>IF(OR(1312="",K12=""),"",1312/K12*10000)</f>
        <v/>
      </c>
      <c r="Q12" s="9">
        <f>IF(OR(1312="",K12=""),"",(J12-1612)/1612)</f>
        <v/>
      </c>
    </row>
    <row r="13">
      <c r="A13" s="10" t="n">
        <v>12</v>
      </c>
      <c r="B13" s="7" t="inlineStr">
        <is>
          <t>天津</t>
        </is>
      </c>
      <c r="C13" s="11">
        <f>数据表!C13</f>
        <v/>
      </c>
      <c r="D13" s="11">
        <f>数据表!D13</f>
        <v/>
      </c>
      <c r="E13" s="9">
        <f>人口假设!C13</f>
        <v/>
      </c>
      <c r="F13" s="9">
        <f>人口假设!D13</f>
        <v/>
      </c>
      <c r="G13" s="11">
        <f>C13*E13+D13*F13</f>
        <v/>
      </c>
      <c r="H13" s="11">
        <f>G13*12</f>
        <v/>
      </c>
      <c r="I13" s="12">
        <f>参数!B4</f>
        <v/>
      </c>
      <c r="J13" s="11">
        <f>H13/I13</f>
        <v/>
      </c>
      <c r="K13" s="8">
        <f>人口假设!B13</f>
        <v/>
      </c>
      <c r="L13" s="13">
        <f>IF(K13="","",J13*K13*10000/100000000)</f>
        <v/>
      </c>
      <c r="M13" s="13">
        <f>IF(实际GDP来源!D13="","",实际GDP来源!D13)</f>
        <v/>
      </c>
      <c r="N13" s="13">
        <f>IF(1313="","",L13-1313)</f>
        <v/>
      </c>
      <c r="O13" s="14">
        <f>IF(1313="","",L13/1313)</f>
        <v/>
      </c>
      <c r="P13" s="11">
        <f>IF(OR(1313="",K13=""),"",1313/K13*10000)</f>
        <v/>
      </c>
      <c r="Q13" s="9">
        <f>IF(OR(1313="",K13=""),"",(J13-1613)/1613)</f>
        <v/>
      </c>
    </row>
    <row r="14">
      <c r="A14" s="10" t="n">
        <v>13</v>
      </c>
      <c r="B14" s="7" t="inlineStr">
        <is>
          <t>厦门</t>
        </is>
      </c>
      <c r="C14" s="11">
        <f>数据表!C14</f>
        <v/>
      </c>
      <c r="D14" s="11">
        <f>数据表!D14</f>
        <v/>
      </c>
      <c r="E14" s="9">
        <f>人口假设!C14</f>
        <v/>
      </c>
      <c r="F14" s="9">
        <f>人口假设!D14</f>
        <v/>
      </c>
      <c r="G14" s="11">
        <f>C14*E14+D14*F14</f>
        <v/>
      </c>
      <c r="H14" s="11">
        <f>G14*12</f>
        <v/>
      </c>
      <c r="I14" s="12">
        <f>参数!B4</f>
        <v/>
      </c>
      <c r="J14" s="11">
        <f>H14/I14</f>
        <v/>
      </c>
      <c r="K14" s="8">
        <f>人口假设!B14</f>
        <v/>
      </c>
      <c r="L14" s="13">
        <f>IF(K14="","",J14*K14*10000/100000000)</f>
        <v/>
      </c>
      <c r="M14" s="13">
        <f>IF(实际GDP来源!D14="","",实际GDP来源!D14)</f>
        <v/>
      </c>
      <c r="N14" s="13">
        <f>IF(1314="","",L14-1314)</f>
        <v/>
      </c>
      <c r="O14" s="14">
        <f>IF(1314="","",L14/1314)</f>
        <v/>
      </c>
      <c r="P14" s="11">
        <f>IF(OR(1314="",K14=""),"",1314/K14*10000)</f>
        <v/>
      </c>
      <c r="Q14" s="9">
        <f>IF(OR(1314="",K14=""),"",(J14-1614)/1614)</f>
        <v/>
      </c>
    </row>
    <row r="15">
      <c r="A15" s="10" t="n">
        <v>14</v>
      </c>
      <c r="B15" s="7" t="inlineStr">
        <is>
          <t>深圳</t>
        </is>
      </c>
      <c r="C15" s="11">
        <f>数据表!C15</f>
        <v/>
      </c>
      <c r="D15" s="11">
        <f>数据表!D15</f>
        <v/>
      </c>
      <c r="E15" s="9">
        <f>人口假设!C15</f>
        <v/>
      </c>
      <c r="F15" s="9">
        <f>人口假设!D15</f>
        <v/>
      </c>
      <c r="G15" s="11">
        <f>C15*E15+D15*F15</f>
        <v/>
      </c>
      <c r="H15" s="11">
        <f>G15*12</f>
        <v/>
      </c>
      <c r="I15" s="12">
        <f>参数!B4</f>
        <v/>
      </c>
      <c r="J15" s="11">
        <f>H15/I15</f>
        <v/>
      </c>
      <c r="K15" s="8">
        <f>人口假设!B15</f>
        <v/>
      </c>
      <c r="L15" s="13">
        <f>IF(K15="","",J15*K15*10000/100000000)</f>
        <v/>
      </c>
      <c r="M15" s="13">
        <f>IF(实际GDP来源!D15="","",实际GDP来源!D15)</f>
        <v/>
      </c>
      <c r="N15" s="13">
        <f>IF(1315="","",L15-1315)</f>
        <v/>
      </c>
      <c r="O15" s="14">
        <f>IF(1315="","",L15/1315)</f>
        <v/>
      </c>
      <c r="P15" s="11">
        <f>IF(OR(1315="",K15=""),"",1315/K15*10000)</f>
        <v/>
      </c>
      <c r="Q15" s="9">
        <f>IF(OR(1315="",K15=""),"",(J15-1615)/1615)</f>
        <v/>
      </c>
    </row>
    <row r="16">
      <c r="A16" s="10" t="n">
        <v>15</v>
      </c>
      <c r="B16" s="7" t="inlineStr">
        <is>
          <t>重庆</t>
        </is>
      </c>
      <c r="C16" s="11">
        <f>数据表!C16</f>
        <v/>
      </c>
      <c r="D16" s="11">
        <f>数据表!D16</f>
        <v/>
      </c>
      <c r="E16" s="9">
        <f>人口假设!C16</f>
        <v/>
      </c>
      <c r="F16" s="9">
        <f>人口假设!D16</f>
        <v/>
      </c>
      <c r="G16" s="11">
        <f>C16*E16+D16*F16</f>
        <v/>
      </c>
      <c r="H16" s="11">
        <f>G16*12</f>
        <v/>
      </c>
      <c r="I16" s="12">
        <f>参数!B4</f>
        <v/>
      </c>
      <c r="J16" s="11">
        <f>H16/I16</f>
        <v/>
      </c>
      <c r="K16" s="8">
        <f>人口假设!B16</f>
        <v/>
      </c>
      <c r="L16" s="13">
        <f>IF(K16="","",J16*K16*10000/100000000)</f>
        <v/>
      </c>
      <c r="M16" s="13">
        <f>IF(实际GDP来源!D16="","",实际GDP来源!D16)</f>
        <v/>
      </c>
      <c r="N16" s="13">
        <f>IF(1316="","",L16-1316)</f>
        <v/>
      </c>
      <c r="O16" s="14">
        <f>IF(1316="","",L16/1316)</f>
        <v/>
      </c>
      <c r="P16" s="11">
        <f>IF(OR(1316="",K16=""),"",1316/K16*10000)</f>
        <v/>
      </c>
      <c r="Q16" s="9">
        <f>IF(OR(1316="",K16=""),"",(J16-1616)/1616)</f>
        <v/>
      </c>
    </row>
    <row r="17">
      <c r="A17" s="10" t="n">
        <v>16</v>
      </c>
      <c r="B17" s="7" t="inlineStr">
        <is>
          <t>宁波</t>
        </is>
      </c>
      <c r="C17" s="11">
        <f>数据表!C17</f>
        <v/>
      </c>
      <c r="D17" s="11">
        <f>数据表!D17</f>
        <v/>
      </c>
      <c r="E17" s="9">
        <f>人口假设!C17</f>
        <v/>
      </c>
      <c r="F17" s="9">
        <f>人口假设!D17</f>
        <v/>
      </c>
      <c r="G17" s="11">
        <f>C17*E17+D17*F17</f>
        <v/>
      </c>
      <c r="H17" s="11">
        <f>G17*12</f>
        <v/>
      </c>
      <c r="I17" s="12">
        <f>参数!B4</f>
        <v/>
      </c>
      <c r="J17" s="11">
        <f>H17/I17</f>
        <v/>
      </c>
      <c r="K17" s="8">
        <f>人口假设!B17</f>
        <v/>
      </c>
      <c r="L17" s="13">
        <f>IF(K17="","",J17*K17*10000/100000000)</f>
        <v/>
      </c>
      <c r="M17" s="13">
        <f>IF(实际GDP来源!D17="","",实际GDP来源!D17)</f>
        <v/>
      </c>
      <c r="N17" s="13">
        <f>IF(1317="","",L17-1317)</f>
        <v/>
      </c>
      <c r="O17" s="14">
        <f>IF(1317="","",L17/1317)</f>
        <v/>
      </c>
      <c r="P17" s="11">
        <f>IF(OR(1317="",K17=""),"",1317/K17*10000)</f>
        <v/>
      </c>
      <c r="Q17" s="9">
        <f>IF(OR(1317="",K17=""),"",(J17-1617)/1617)</f>
        <v/>
      </c>
    </row>
    <row r="18">
      <c r="A18" s="10" t="n">
        <v>17</v>
      </c>
      <c r="B18" s="7" t="inlineStr">
        <is>
          <t>西安</t>
        </is>
      </c>
      <c r="C18" s="11">
        <f>数据表!C18</f>
        <v/>
      </c>
      <c r="D18" s="11">
        <f>数据表!D18</f>
        <v/>
      </c>
      <c r="E18" s="9">
        <f>人口假设!C18</f>
        <v/>
      </c>
      <c r="F18" s="9">
        <f>人口假设!D18</f>
        <v/>
      </c>
      <c r="G18" s="11">
        <f>C18*E18+D18*F18</f>
        <v/>
      </c>
      <c r="H18" s="11">
        <f>G18*12</f>
        <v/>
      </c>
      <c r="I18" s="12">
        <f>参数!B4</f>
        <v/>
      </c>
      <c r="J18" s="11">
        <f>H18/I18</f>
        <v/>
      </c>
      <c r="K18" s="8">
        <f>人口假设!B18</f>
        <v/>
      </c>
      <c r="L18" s="13">
        <f>IF(K18="","",J18*K18*10000/100000000)</f>
        <v/>
      </c>
      <c r="M18" s="13">
        <f>IF(实际GDP来源!D18="","",实际GDP来源!D18)</f>
        <v/>
      </c>
      <c r="N18" s="13">
        <f>IF(1318="","",L18-1318)</f>
        <v/>
      </c>
      <c r="O18" s="14">
        <f>IF(1318="","",L18/1318)</f>
        <v/>
      </c>
      <c r="P18" s="11">
        <f>IF(OR(1318="",K18=""),"",1318/K18*10000)</f>
        <v/>
      </c>
      <c r="Q18" s="9">
        <f>IF(OR(1318="",K18=""),"",(J18-1618)/1618)</f>
        <v/>
      </c>
    </row>
    <row r="19">
      <c r="A19" s="10" t="n">
        <v>18</v>
      </c>
      <c r="B19" s="7" t="inlineStr">
        <is>
          <t>广州</t>
        </is>
      </c>
      <c r="C19" s="11">
        <f>数据表!C19</f>
        <v/>
      </c>
      <c r="D19" s="11">
        <f>数据表!D19</f>
        <v/>
      </c>
      <c r="E19" s="9">
        <f>人口假设!C19</f>
        <v/>
      </c>
      <c r="F19" s="9">
        <f>人口假设!D19</f>
        <v/>
      </c>
      <c r="G19" s="11">
        <f>C19*E19+D19*F19</f>
        <v/>
      </c>
      <c r="H19" s="11">
        <f>G19*12</f>
        <v/>
      </c>
      <c r="I19" s="12">
        <f>参数!B4</f>
        <v/>
      </c>
      <c r="J19" s="11">
        <f>H19/I19</f>
        <v/>
      </c>
      <c r="K19" s="8">
        <f>人口假设!B19</f>
        <v/>
      </c>
      <c r="L19" s="13">
        <f>IF(K19="","",J19*K19*10000/100000000)</f>
        <v/>
      </c>
      <c r="M19" s="13">
        <f>IF(实际GDP来源!D19="","",实际GDP来源!D19)</f>
        <v/>
      </c>
      <c r="N19" s="13">
        <f>IF(1319="","",L19-1319)</f>
        <v/>
      </c>
      <c r="O19" s="14">
        <f>IF(1319="","",L19/1319)</f>
        <v/>
      </c>
      <c r="P19" s="11">
        <f>IF(OR(1319="",K19=""),"",1319/K19*10000)</f>
        <v/>
      </c>
      <c r="Q19" s="9">
        <f>IF(OR(1319="",K19=""),"",(J19-1619)/1619)</f>
        <v/>
      </c>
    </row>
    <row r="20">
      <c r="A20" s="10" t="n">
        <v>19</v>
      </c>
      <c r="B20" s="7" t="inlineStr">
        <is>
          <t>济南</t>
        </is>
      </c>
      <c r="C20" s="11">
        <f>数据表!C20</f>
        <v/>
      </c>
      <c r="D20" s="11">
        <f>数据表!D20</f>
        <v/>
      </c>
      <c r="E20" s="9">
        <f>人口假设!C20</f>
        <v/>
      </c>
      <c r="F20" s="9">
        <f>人口假设!D20</f>
        <v/>
      </c>
      <c r="G20" s="11">
        <f>C20*E20+D20*F20</f>
        <v/>
      </c>
      <c r="H20" s="11">
        <f>G20*12</f>
        <v/>
      </c>
      <c r="I20" s="12">
        <f>参数!B4</f>
        <v/>
      </c>
      <c r="J20" s="11">
        <f>H20/I20</f>
        <v/>
      </c>
      <c r="K20" s="8">
        <f>人口假设!B20</f>
        <v/>
      </c>
      <c r="L20" s="13">
        <f>IF(K20="","",J20*K20*10000/100000000)</f>
        <v/>
      </c>
      <c r="M20" s="13">
        <f>IF(实际GDP来源!D20="","",实际GDP来源!D20)</f>
        <v/>
      </c>
      <c r="N20" s="13">
        <f>IF(1320="","",L20-1320)</f>
        <v/>
      </c>
      <c r="O20" s="14">
        <f>IF(1320="","",L20/1320)</f>
        <v/>
      </c>
      <c r="P20" s="11">
        <f>IF(OR(1320="",K20=""),"",1320/K20*10000)</f>
        <v/>
      </c>
      <c r="Q20" s="9">
        <f>IF(OR(1320="",K20=""),"",(J20-1620)/1620)</f>
        <v/>
      </c>
    </row>
    <row r="21">
      <c r="A21" s="10" t="n">
        <v>20</v>
      </c>
      <c r="B21" s="7" t="inlineStr">
        <is>
          <t>郑州</t>
        </is>
      </c>
      <c r="C21" s="11">
        <f>数据表!C21</f>
        <v/>
      </c>
      <c r="D21" s="11">
        <f>数据表!D21</f>
        <v/>
      </c>
      <c r="E21" s="9">
        <f>人口假设!C21</f>
        <v/>
      </c>
      <c r="F21" s="9">
        <f>人口假设!D21</f>
        <v/>
      </c>
      <c r="G21" s="11">
        <f>C21*E21+D21*F21</f>
        <v/>
      </c>
      <c r="H21" s="11">
        <f>G21*12</f>
        <v/>
      </c>
      <c r="I21" s="12">
        <f>参数!B4</f>
        <v/>
      </c>
      <c r="J21" s="11">
        <f>H21/I21</f>
        <v/>
      </c>
      <c r="K21" s="8">
        <f>人口假设!B21</f>
        <v/>
      </c>
      <c r="L21" s="13">
        <f>IF(K21="","",J21*K21*10000/100000000)</f>
        <v/>
      </c>
      <c r="M21" s="13">
        <f>IF(实际GDP来源!D21="","",实际GDP来源!D21)</f>
        <v/>
      </c>
      <c r="N21" s="13">
        <f>IF(1321="","",L21-1321)</f>
        <v/>
      </c>
      <c r="O21" s="14">
        <f>IF(1321="","",L21/1321)</f>
        <v/>
      </c>
      <c r="P21" s="11">
        <f>IF(OR(1321="",K21=""),"",1321/K21*10000)</f>
        <v/>
      </c>
      <c r="Q21" s="9">
        <f>IF(OR(1321="",K21=""),"",(J21-1621)/1621)</f>
        <v/>
      </c>
    </row>
    <row r="22">
      <c r="A22" s="10" t="n">
        <v>21</v>
      </c>
      <c r="B22" s="7" t="inlineStr">
        <is>
          <t>青岛</t>
        </is>
      </c>
      <c r="C22" s="11">
        <f>数据表!C22</f>
        <v/>
      </c>
      <c r="D22" s="11">
        <f>数据表!D22</f>
        <v/>
      </c>
      <c r="E22" s="9">
        <f>人口假设!C22</f>
        <v/>
      </c>
      <c r="F22" s="9">
        <f>人口假设!D22</f>
        <v/>
      </c>
      <c r="G22" s="11">
        <f>C22*E22+D22*F22</f>
        <v/>
      </c>
      <c r="H22" s="11">
        <f>G22*12</f>
        <v/>
      </c>
      <c r="I22" s="12">
        <f>参数!B4</f>
        <v/>
      </c>
      <c r="J22" s="11">
        <f>H22/I22</f>
        <v/>
      </c>
      <c r="K22" s="8">
        <f>人口假设!B22</f>
        <v/>
      </c>
      <c r="L22" s="13">
        <f>IF(K22="","",J22*K22*10000/100000000)</f>
        <v/>
      </c>
      <c r="M22" s="13">
        <f>IF(实际GDP来源!D22="","",实际GDP来源!D22)</f>
        <v/>
      </c>
      <c r="N22" s="13">
        <f>IF(1322="","",L22-1322)</f>
        <v/>
      </c>
      <c r="O22" s="14">
        <f>IF(1322="","",L22/1322)</f>
        <v/>
      </c>
      <c r="P22" s="11">
        <f>IF(OR(1322="",K22=""),"",1322/K22*10000)</f>
        <v/>
      </c>
      <c r="Q22" s="9">
        <f>IF(OR(1322="",K22=""),"",(J22-1622)/1622)</f>
        <v/>
      </c>
    </row>
    <row r="23">
      <c r="A23" s="10" t="n">
        <v>22</v>
      </c>
      <c r="B23" s="7" t="inlineStr">
        <is>
          <t>福州</t>
        </is>
      </c>
      <c r="C23" s="11">
        <f>数据表!C23</f>
        <v/>
      </c>
      <c r="D23" s="11">
        <f>数据表!D23</f>
        <v/>
      </c>
      <c r="E23" s="9">
        <f>人口假设!C23</f>
        <v/>
      </c>
      <c r="F23" s="9">
        <f>人口假设!D23</f>
        <v/>
      </c>
      <c r="G23" s="11">
        <f>C23*E23+D23*F23</f>
        <v/>
      </c>
      <c r="H23" s="11">
        <f>G23*12</f>
        <v/>
      </c>
      <c r="I23" s="12">
        <f>参数!B4</f>
        <v/>
      </c>
      <c r="J23" s="11">
        <f>H23/I23</f>
        <v/>
      </c>
      <c r="K23" s="8">
        <f>人口假设!B23</f>
        <v/>
      </c>
      <c r="L23" s="13">
        <f>IF(K23="","",J23*K23*10000/100000000)</f>
        <v/>
      </c>
      <c r="M23" s="13">
        <f>IF(实际GDP来源!D23="","",实际GDP来源!D23)</f>
        <v/>
      </c>
      <c r="N23" s="13">
        <f>IF(1323="","",L23-1323)</f>
        <v/>
      </c>
      <c r="O23" s="14">
        <f>IF(1323="","",L23/1323)</f>
        <v/>
      </c>
      <c r="P23" s="11">
        <f>IF(OR(1323="",K23=""),"",1323/K23*10000)</f>
        <v/>
      </c>
      <c r="Q23" s="9">
        <f>IF(OR(1323="",K23=""),"",(J23-1623)/1623)</f>
        <v/>
      </c>
    </row>
    <row r="24">
      <c r="A24" s="10" t="n">
        <v>23</v>
      </c>
      <c r="B24" s="7" t="inlineStr">
        <is>
          <t>合肥</t>
        </is>
      </c>
      <c r="C24" s="11">
        <f>数据表!C24</f>
        <v/>
      </c>
      <c r="D24" s="11">
        <f>数据表!D24</f>
        <v/>
      </c>
      <c r="E24" s="9">
        <f>人口假设!C24</f>
        <v/>
      </c>
      <c r="F24" s="9">
        <f>人口假设!D24</f>
        <v/>
      </c>
      <c r="G24" s="11">
        <f>C24*E24+D24*F24</f>
        <v/>
      </c>
      <c r="H24" s="11">
        <f>G24*12</f>
        <v/>
      </c>
      <c r="I24" s="12">
        <f>参数!B4</f>
        <v/>
      </c>
      <c r="J24" s="11">
        <f>H24/I24</f>
        <v/>
      </c>
      <c r="K24" s="8">
        <f>人口假设!B24</f>
        <v/>
      </c>
      <c r="L24" s="13">
        <f>IF(K24="","",J24*K24*10000/100000000)</f>
        <v/>
      </c>
      <c r="M24" s="13">
        <f>IF(实际GDP来源!D24="","",实际GDP来源!D24)</f>
        <v/>
      </c>
      <c r="N24" s="13">
        <f>IF(1324="","",L24-1324)</f>
        <v/>
      </c>
      <c r="O24" s="14">
        <f>IF(1324="","",L24/1324)</f>
        <v/>
      </c>
      <c r="P24" s="11">
        <f>IF(OR(1324="",K24=""),"",1324/K24*10000)</f>
        <v/>
      </c>
      <c r="Q24" s="9">
        <f>IF(OR(1324="",K24=""),"",(J24-1624)/1624)</f>
        <v/>
      </c>
    </row>
    <row r="25">
      <c r="A25" s="10" t="n">
        <v>24</v>
      </c>
      <c r="B25" s="7" t="inlineStr">
        <is>
          <t>沈阳</t>
        </is>
      </c>
      <c r="C25" s="11">
        <f>数据表!C25</f>
        <v/>
      </c>
      <c r="D25" s="11">
        <f>数据表!D25</f>
        <v/>
      </c>
      <c r="E25" s="9">
        <f>人口假设!C25</f>
        <v/>
      </c>
      <c r="F25" s="9">
        <f>人口假设!D25</f>
        <v/>
      </c>
      <c r="G25" s="11">
        <f>C25*E25+D25*F25</f>
        <v/>
      </c>
      <c r="H25" s="11">
        <f>G25*12</f>
        <v/>
      </c>
      <c r="I25" s="12">
        <f>参数!B4</f>
        <v/>
      </c>
      <c r="J25" s="11">
        <f>H25/I25</f>
        <v/>
      </c>
      <c r="K25" s="8">
        <f>人口假设!B25</f>
        <v/>
      </c>
      <c r="L25" s="13">
        <f>IF(K25="","",J25*K25*10000/100000000)</f>
        <v/>
      </c>
      <c r="M25" s="13">
        <f>IF(实际GDP来源!D25="","",实际GDP来源!D25)</f>
        <v/>
      </c>
      <c r="N25" s="13">
        <f>IF(1325="","",L25-1325)</f>
        <v/>
      </c>
      <c r="O25" s="14">
        <f>IF(1325="","",L25/1325)</f>
        <v/>
      </c>
      <c r="P25" s="11">
        <f>IF(OR(1325="",K25=""),"",1325/K25*10000)</f>
        <v/>
      </c>
      <c r="Q25" s="9">
        <f>IF(OR(1325="",K25=""),"",(J25-1625)/1625)</f>
        <v/>
      </c>
    </row>
    <row r="26">
      <c r="A26" s="10" t="n">
        <v>25</v>
      </c>
      <c r="B26" s="7" t="inlineStr">
        <is>
          <t>大连</t>
        </is>
      </c>
      <c r="C26" s="11">
        <f>数据表!C26</f>
        <v/>
      </c>
      <c r="D26" s="11">
        <f>数据表!D26</f>
        <v/>
      </c>
      <c r="E26" s="9">
        <f>人口假设!C26</f>
        <v/>
      </c>
      <c r="F26" s="9">
        <f>人口假设!D26</f>
        <v/>
      </c>
      <c r="G26" s="11">
        <f>C26*E26+D26*F26</f>
        <v/>
      </c>
      <c r="H26" s="11">
        <f>G26*12</f>
        <v/>
      </c>
      <c r="I26" s="12">
        <f>参数!B4</f>
        <v/>
      </c>
      <c r="J26" s="11">
        <f>H26/I26</f>
        <v/>
      </c>
      <c r="K26" s="8">
        <f>人口假设!B26</f>
        <v/>
      </c>
      <c r="L26" s="13">
        <f>IF(K26="","",J26*K26*10000/100000000)</f>
        <v/>
      </c>
      <c r="M26" s="13">
        <f>IF(实际GDP来源!D26="","",实际GDP来源!D26)</f>
        <v/>
      </c>
      <c r="N26" s="13">
        <f>IF(1326="","",L26-1326)</f>
        <v/>
      </c>
      <c r="O26" s="14">
        <f>IF(1326="","",L26/1326)</f>
        <v/>
      </c>
      <c r="P26" s="11">
        <f>IF(OR(1326="",K26=""),"",1326/K26*10000)</f>
        <v/>
      </c>
      <c r="Q26" s="9">
        <f>IF(OR(1326="",K26=""),"",(J26-1626)/1626)</f>
        <v/>
      </c>
    </row>
  </sheetData>
  <autoFilter ref="A1:Q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18" customWidth="1" min="4" max="4"/>
    <col width="8" customWidth="1" min="5" max="5"/>
    <col width="8" customWidth="1" min="6" max="6"/>
  </cols>
  <sheetData>
    <row r="1">
      <c r="A1" s="1" t="inlineStr">
        <is>
          <t>序号</t>
        </is>
      </c>
      <c r="B1" s="1" t="inlineStr">
        <is>
          <t>城市</t>
        </is>
      </c>
      <c r="C1" s="1" t="inlineStr">
        <is>
          <t>男性人均每月消费额(元)</t>
        </is>
      </c>
      <c r="D1" s="1" t="inlineStr">
        <is>
          <t>女性人均每月消费额(元)</t>
        </is>
      </c>
      <c r="E1" s="1" t="inlineStr">
        <is>
          <t>省市区</t>
        </is>
      </c>
      <c r="F1" s="1" t="inlineStr">
        <is>
          <t>区域</t>
        </is>
      </c>
    </row>
    <row r="2">
      <c r="A2" s="2" t="n">
        <v>1</v>
      </c>
      <c r="B2" s="3" t="inlineStr">
        <is>
          <t>香港</t>
        </is>
      </c>
      <c r="C2" s="4" t="n">
        <v>23543</v>
      </c>
      <c r="D2" s="4" t="n">
        <v>23608</v>
      </c>
      <c r="E2" s="3" t="inlineStr">
        <is>
          <t>香港</t>
        </is>
      </c>
      <c r="F2" s="3" t="inlineStr">
        <is>
          <t>华南</t>
        </is>
      </c>
    </row>
    <row r="3">
      <c r="A3" s="2" t="n">
        <v>2</v>
      </c>
      <c r="B3" s="3" t="inlineStr">
        <is>
          <t>澳门</t>
        </is>
      </c>
      <c r="C3" s="4" t="n">
        <v>21167</v>
      </c>
      <c r="D3" s="4" t="n">
        <v>22532</v>
      </c>
      <c r="E3" s="3" t="inlineStr">
        <is>
          <t>澳门</t>
        </is>
      </c>
      <c r="F3" s="3" t="inlineStr">
        <is>
          <t>华南</t>
        </is>
      </c>
    </row>
    <row r="4">
      <c r="A4" s="2" t="n">
        <v>3</v>
      </c>
      <c r="B4" s="3" t="inlineStr">
        <is>
          <t>台北</t>
        </is>
      </c>
      <c r="C4" s="4" t="n">
        <v>9913</v>
      </c>
      <c r="D4" s="4" t="n">
        <v>9894</v>
      </c>
      <c r="E4" s="3" t="inlineStr">
        <is>
          <t>台湾</t>
        </is>
      </c>
      <c r="F4" s="3" t="inlineStr">
        <is>
          <t>华东</t>
        </is>
      </c>
    </row>
    <row r="5">
      <c r="A5" s="2" t="n">
        <v>4</v>
      </c>
      <c r="B5" s="3" t="inlineStr">
        <is>
          <t>上海</t>
        </is>
      </c>
      <c r="C5" s="4" t="n">
        <v>5462</v>
      </c>
      <c r="D5" s="4" t="n">
        <v>10872</v>
      </c>
      <c r="E5" s="3" t="inlineStr">
        <is>
          <t>上海</t>
        </is>
      </c>
      <c r="F5" s="3" t="inlineStr">
        <is>
          <t>华东</t>
        </is>
      </c>
    </row>
    <row r="6">
      <c r="A6" s="2" t="n">
        <v>5</v>
      </c>
      <c r="B6" s="3" t="inlineStr">
        <is>
          <t>北京</t>
        </is>
      </c>
      <c r="C6" s="4" t="n">
        <v>5421</v>
      </c>
      <c r="D6" s="4" t="n">
        <v>10455</v>
      </c>
      <c r="E6" s="3" t="inlineStr">
        <is>
          <t>北京</t>
        </is>
      </c>
      <c r="F6" s="3" t="inlineStr">
        <is>
          <t>华北</t>
        </is>
      </c>
    </row>
    <row r="7">
      <c r="A7" s="2" t="n">
        <v>6</v>
      </c>
      <c r="B7" s="3" t="inlineStr">
        <is>
          <t>杭州</t>
        </is>
      </c>
      <c r="C7" s="4" t="n">
        <v>5124</v>
      </c>
      <c r="D7" s="4" t="n">
        <v>9885</v>
      </c>
      <c r="E7" s="3" t="inlineStr">
        <is>
          <t>浙江</t>
        </is>
      </c>
      <c r="F7" s="3" t="inlineStr">
        <is>
          <t>华东</t>
        </is>
      </c>
    </row>
    <row r="8">
      <c r="A8" s="2" t="n">
        <v>7</v>
      </c>
      <c r="B8" s="3" t="inlineStr">
        <is>
          <t>南京</t>
        </is>
      </c>
      <c r="C8" s="4" t="n">
        <v>5102</v>
      </c>
      <c r="D8" s="4" t="n">
        <v>9843</v>
      </c>
      <c r="E8" s="3" t="inlineStr">
        <is>
          <t>江苏</t>
        </is>
      </c>
      <c r="F8" s="3" t="inlineStr">
        <is>
          <t>华东</t>
        </is>
      </c>
    </row>
    <row r="9">
      <c r="A9" s="2" t="n">
        <v>8</v>
      </c>
      <c r="B9" s="3" t="inlineStr">
        <is>
          <t>武汉</t>
        </is>
      </c>
      <c r="C9" s="4" t="n">
        <v>5087</v>
      </c>
      <c r="D9" s="4" t="n">
        <v>9556</v>
      </c>
      <c r="E9" s="3" t="inlineStr">
        <is>
          <t>湖北</t>
        </is>
      </c>
      <c r="F9" s="3" t="inlineStr">
        <is>
          <t>华中</t>
        </is>
      </c>
    </row>
    <row r="10">
      <c r="A10" s="2" t="n">
        <v>9</v>
      </c>
      <c r="B10" s="3" t="inlineStr">
        <is>
          <t>成都</t>
        </is>
      </c>
      <c r="C10" s="4" t="n">
        <v>5055</v>
      </c>
      <c r="D10" s="4" t="n">
        <v>9122</v>
      </c>
      <c r="E10" s="3" t="inlineStr">
        <is>
          <t>四川</t>
        </is>
      </c>
      <c r="F10" s="3" t="inlineStr">
        <is>
          <t>西南</t>
        </is>
      </c>
    </row>
    <row r="11">
      <c r="A11" s="2" t="n">
        <v>10</v>
      </c>
      <c r="B11" s="3" t="inlineStr">
        <is>
          <t>长沙</t>
        </is>
      </c>
      <c r="C11" s="4" t="n">
        <v>5023</v>
      </c>
      <c r="D11" s="4" t="n">
        <v>9133</v>
      </c>
      <c r="E11" s="3" t="inlineStr">
        <is>
          <t>湖南</t>
        </is>
      </c>
      <c r="F11" s="3" t="inlineStr">
        <is>
          <t>华中</t>
        </is>
      </c>
    </row>
    <row r="12">
      <c r="A12" s="2" t="n">
        <v>11</v>
      </c>
      <c r="B12" s="3" t="inlineStr">
        <is>
          <t>苏州</t>
        </is>
      </c>
      <c r="C12" s="4" t="n">
        <v>5015</v>
      </c>
      <c r="D12" s="4" t="n">
        <v>9262</v>
      </c>
      <c r="E12" s="3" t="inlineStr">
        <is>
          <t>江苏</t>
        </is>
      </c>
      <c r="F12" s="3" t="inlineStr">
        <is>
          <t>华东</t>
        </is>
      </c>
    </row>
    <row r="13">
      <c r="A13" s="2" t="n">
        <v>12</v>
      </c>
      <c r="B13" s="3" t="inlineStr">
        <is>
          <t>天津</t>
        </is>
      </c>
      <c r="C13" s="4" t="n">
        <v>5006</v>
      </c>
      <c r="D13" s="4" t="n">
        <v>9371</v>
      </c>
      <c r="E13" s="3" t="inlineStr">
        <is>
          <t>天津</t>
        </is>
      </c>
      <c r="F13" s="3" t="inlineStr">
        <is>
          <t>华北</t>
        </is>
      </c>
    </row>
    <row r="14">
      <c r="A14" s="2" t="n">
        <v>13</v>
      </c>
      <c r="B14" s="3" t="inlineStr">
        <is>
          <t>厦门</t>
        </is>
      </c>
      <c r="C14" s="4" t="n">
        <v>4993</v>
      </c>
      <c r="D14" s="4" t="n">
        <v>9255</v>
      </c>
      <c r="E14" s="3" t="inlineStr">
        <is>
          <t>福建</t>
        </is>
      </c>
      <c r="F14" s="3" t="inlineStr">
        <is>
          <t>华东</t>
        </is>
      </c>
    </row>
    <row r="15">
      <c r="A15" s="2" t="n">
        <v>14</v>
      </c>
      <c r="B15" s="3" t="inlineStr">
        <is>
          <t>深圳</t>
        </is>
      </c>
      <c r="C15" s="4" t="n">
        <v>4987</v>
      </c>
      <c r="D15" s="4" t="n">
        <v>10253</v>
      </c>
      <c r="E15" s="3" t="inlineStr">
        <is>
          <t>广东</t>
        </is>
      </c>
      <c r="F15" s="3" t="inlineStr">
        <is>
          <t>华南</t>
        </is>
      </c>
    </row>
    <row r="16">
      <c r="A16" s="2" t="n">
        <v>15</v>
      </c>
      <c r="B16" s="3" t="inlineStr">
        <is>
          <t>重庆</t>
        </is>
      </c>
      <c r="C16" s="4" t="n">
        <v>4980</v>
      </c>
      <c r="D16" s="4" t="n">
        <v>8256</v>
      </c>
      <c r="E16" s="3" t="inlineStr">
        <is>
          <t>重庆</t>
        </is>
      </c>
      <c r="F16" s="3" t="inlineStr">
        <is>
          <t>西南</t>
        </is>
      </c>
    </row>
    <row r="17">
      <c r="A17" s="2" t="n">
        <v>16</v>
      </c>
      <c r="B17" s="3" t="inlineStr">
        <is>
          <t>宁波</t>
        </is>
      </c>
      <c r="C17" s="4" t="n">
        <v>4962</v>
      </c>
      <c r="D17" s="4" t="n">
        <v>9297</v>
      </c>
      <c r="E17" s="3" t="inlineStr">
        <is>
          <t>浙江</t>
        </is>
      </c>
      <c r="F17" s="3" t="inlineStr">
        <is>
          <t>华东</t>
        </is>
      </c>
    </row>
    <row r="18">
      <c r="A18" s="2" t="n">
        <v>17</v>
      </c>
      <c r="B18" s="3" t="inlineStr">
        <is>
          <t>西安</t>
        </is>
      </c>
      <c r="C18" s="4" t="n">
        <v>4950</v>
      </c>
      <c r="D18" s="4" t="n">
        <v>8363</v>
      </c>
      <c r="E18" s="3" t="inlineStr">
        <is>
          <t>陕西</t>
        </is>
      </c>
      <c r="F18" s="3" t="inlineStr">
        <is>
          <t>西北</t>
        </is>
      </c>
    </row>
    <row r="19">
      <c r="A19" s="2" t="n">
        <v>18</v>
      </c>
      <c r="B19" s="3" t="inlineStr">
        <is>
          <t>广州</t>
        </is>
      </c>
      <c r="C19" s="4" t="n">
        <v>4941</v>
      </c>
      <c r="D19" s="4" t="n">
        <v>9913</v>
      </c>
      <c r="E19" s="3" t="inlineStr">
        <is>
          <t>广东</t>
        </is>
      </c>
      <c r="F19" s="3" t="inlineStr">
        <is>
          <t>华南</t>
        </is>
      </c>
    </row>
    <row r="20">
      <c r="A20" s="2" t="n">
        <v>19</v>
      </c>
      <c r="B20" s="3" t="inlineStr">
        <is>
          <t>济南</t>
        </is>
      </c>
      <c r="C20" s="4" t="n">
        <v>4934</v>
      </c>
      <c r="D20" s="4" t="n">
        <v>8579</v>
      </c>
      <c r="E20" s="3" t="inlineStr">
        <is>
          <t>山东</t>
        </is>
      </c>
      <c r="F20" s="3" t="inlineStr">
        <is>
          <t>华东</t>
        </is>
      </c>
    </row>
    <row r="21">
      <c r="A21" s="2" t="n">
        <v>20</v>
      </c>
      <c r="B21" s="3" t="inlineStr">
        <is>
          <t>郑州</t>
        </is>
      </c>
      <c r="C21" s="4" t="n">
        <v>4931</v>
      </c>
      <c r="D21" s="4" t="n">
        <v>8485</v>
      </c>
      <c r="E21" s="3" t="inlineStr">
        <is>
          <t>河南</t>
        </is>
      </c>
      <c r="F21" s="3" t="inlineStr">
        <is>
          <t>华中</t>
        </is>
      </c>
    </row>
    <row r="22">
      <c r="A22" s="2" t="n">
        <v>21</v>
      </c>
      <c r="B22" s="3" t="inlineStr">
        <is>
          <t>青岛</t>
        </is>
      </c>
      <c r="C22" s="4" t="n">
        <v>4927</v>
      </c>
      <c r="D22" s="4" t="n">
        <v>8996</v>
      </c>
      <c r="E22" s="3" t="inlineStr">
        <is>
          <t>山东</t>
        </is>
      </c>
      <c r="F22" s="3" t="inlineStr">
        <is>
          <t>华东</t>
        </is>
      </c>
    </row>
    <row r="23">
      <c r="A23" s="2" t="n">
        <v>22</v>
      </c>
      <c r="B23" s="3" t="inlineStr">
        <is>
          <t>福州</t>
        </is>
      </c>
      <c r="C23" s="4" t="n">
        <v>4912</v>
      </c>
      <c r="D23" s="4" t="n">
        <v>9147</v>
      </c>
      <c r="E23" s="3" t="inlineStr">
        <is>
          <t>福建</t>
        </is>
      </c>
      <c r="F23" s="3" t="inlineStr">
        <is>
          <t>华东</t>
        </is>
      </c>
    </row>
    <row r="24">
      <c r="A24" s="2" t="n">
        <v>23</v>
      </c>
      <c r="B24" s="3" t="inlineStr">
        <is>
          <t>合肥</t>
        </is>
      </c>
      <c r="C24" s="4" t="n">
        <v>4892</v>
      </c>
      <c r="D24" s="4" t="n">
        <v>8645</v>
      </c>
      <c r="E24" s="3" t="inlineStr">
        <is>
          <t>安徽</t>
        </is>
      </c>
      <c r="F24" s="3" t="inlineStr">
        <is>
          <t>华东</t>
        </is>
      </c>
    </row>
    <row r="25">
      <c r="A25" s="2" t="n">
        <v>24</v>
      </c>
      <c r="B25" s="3" t="inlineStr">
        <is>
          <t>沈阳</t>
        </is>
      </c>
      <c r="C25" s="4" t="n">
        <v>4882</v>
      </c>
      <c r="D25" s="4" t="n">
        <v>8187</v>
      </c>
      <c r="E25" s="3" t="inlineStr">
        <is>
          <t>辽宁</t>
        </is>
      </c>
      <c r="F25" s="3" t="inlineStr">
        <is>
          <t>东北</t>
        </is>
      </c>
    </row>
    <row r="26">
      <c r="A26" s="2" t="n">
        <v>25</v>
      </c>
      <c r="B26" s="3" t="inlineStr">
        <is>
          <t>大连</t>
        </is>
      </c>
      <c r="C26" s="4" t="n">
        <v>4853</v>
      </c>
      <c r="D26" s="4" t="n">
        <v>8196</v>
      </c>
      <c r="E26" s="3" t="inlineStr">
        <is>
          <t>辽宁</t>
        </is>
      </c>
      <c r="F26" s="3" t="inlineStr">
        <is>
          <t>东北</t>
        </is>
      </c>
    </row>
  </sheetData>
  <autoFilter ref="A1:F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5" t="inlineStr">
        <is>
          <t>来源链接</t>
        </is>
      </c>
      <c r="B1" s="3" t="inlineStr">
        <is>
          <t>https://www.163.com/dy/article/KC72RRK605388U6J.html</t>
        </is>
      </c>
    </row>
    <row r="2">
      <c r="A2" s="5" t="inlineStr">
        <is>
          <t>提取方式</t>
        </is>
      </c>
      <c r="B2" s="3" t="inlineStr">
        <is>
          <t>根据文章配图表格逐行转录为结构化数据（未对数据真实性/口径做独立核验）</t>
        </is>
      </c>
    </row>
    <row r="3">
      <c r="A3" s="5" t="inlineStr">
        <is>
          <t>提取时间</t>
        </is>
      </c>
      <c r="B3" s="3" t="inlineStr">
        <is>
          <t>2026-04-15 22:51:49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2026-04-15T14:51:49Z</dcterms:created>
  <dcterms:modified xmlns:dcterms="http://purl.org/dc/terms/" xmlns:xsi="http://www.w3.org/2001/XMLSchema-instance" xsi:type="dcterms:W3CDTF">2026-04-15T16:30:18Z</dcterms:modified>
</cp:coreProperties>
</file>